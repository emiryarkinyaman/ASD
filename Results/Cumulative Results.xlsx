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novo\Desktop\TYPO\ASD\Results\"/>
    </mc:Choice>
  </mc:AlternateContent>
  <xr:revisionPtr revIDLastSave="0" documentId="13_ncr:1_{F4B6867D-8D86-46B0-8FB2-4F8541083C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w Data" sheetId="1" r:id="rId1"/>
    <sheet name="Second Derivative" sheetId="2" r:id="rId2"/>
    <sheet name="Vector Normalization" sheetId="3" r:id="rId3"/>
    <sheet name="Area Normalizat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4" l="1"/>
  <c r="G21" i="4"/>
  <c r="G14" i="4"/>
  <c r="G7" i="4"/>
  <c r="G28" i="3"/>
  <c r="G21" i="3"/>
  <c r="G14" i="3"/>
  <c r="G7" i="3"/>
  <c r="G28" i="2"/>
  <c r="G21" i="2"/>
  <c r="G14" i="2"/>
  <c r="G7" i="2"/>
  <c r="G28" i="1"/>
  <c r="G21" i="1"/>
  <c r="G14" i="1"/>
  <c r="G7" i="1"/>
</calcChain>
</file>

<file path=xl/sharedStrings.xml><?xml version="1.0" encoding="utf-8"?>
<sst xmlns="http://schemas.openxmlformats.org/spreadsheetml/2006/main" count="427" uniqueCount="28">
  <si>
    <t>MCC</t>
  </si>
  <si>
    <t>Works Just Fine</t>
  </si>
  <si>
    <t>Reliable</t>
  </si>
  <si>
    <t>Overfitting</t>
  </si>
  <si>
    <t>Not Reliable</t>
  </si>
  <si>
    <t>Cumulative success rate of the algorithm group above (out of 100):</t>
  </si>
  <si>
    <t>Underfitting</t>
  </si>
  <si>
    <t>Underfitting Tendency</t>
  </si>
  <si>
    <t>Considerable</t>
  </si>
  <si>
    <t>Potential Underfit Behaviour</t>
  </si>
  <si>
    <t>Doubtful</t>
  </si>
  <si>
    <t>Reliability</t>
  </si>
  <si>
    <t>Performance</t>
  </si>
  <si>
    <t>Precision</t>
  </si>
  <si>
    <t>Sensitivity</t>
  </si>
  <si>
    <t>Specificity</t>
  </si>
  <si>
    <t>Accuracy</t>
  </si>
  <si>
    <t>F1 Score</t>
  </si>
  <si>
    <t>Support Vector Machine — RBF</t>
  </si>
  <si>
    <t>Support Vector Machine — POLY</t>
  </si>
  <si>
    <t>Support Vector Machine — Linear</t>
  </si>
  <si>
    <t>kNN — Cosine</t>
  </si>
  <si>
    <t>kNN — Minkowski &amp; Euclidean</t>
  </si>
  <si>
    <t>Err.</t>
  </si>
  <si>
    <t>Full Interval [600:3801]</t>
  </si>
  <si>
    <t>Fingerprint Region [800:1701]</t>
  </si>
  <si>
    <t>High-frequency Region [2600-3001]</t>
  </si>
  <si>
    <t>Double Interval [800:1701] U [2600-3001]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</si>
</sst>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9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0" tint="-0.499984740745262"/>
      <name val="Aptos"/>
      <family val="2"/>
    </font>
    <font>
      <b/>
      <sz val="9"/>
      <color rgb="FF00B05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0" fontId="4" fillId="2" borderId="1" xfId="0" applyNumberFormat="1" applyFont="1" applyFill="1" applyBorder="1" applyAlignment="1">
      <alignment horizontal="center" vertical="center"/>
    </xf>
    <xf numFmtId="10" fontId="3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abSelected="1" workbookViewId="0"/>
  </sheetViews>
  <sheetFormatPr defaultRowHeight="13.8" customHeight="1" x14ac:dyDescent="0.25"/>
  <cols>
    <col min="1" max="1" width="33.33203125" style="3" customWidth="1"/>
    <col min="2" max="7" width="14.44140625" style="3" customWidth="1"/>
    <col min="8" max="9" width="41.6640625" style="3" customWidth="1"/>
    <col min="10" max="10" width="0.5546875" style="3" customWidth="1"/>
    <col min="11" max="16384" width="8.88671875" style="3"/>
  </cols>
  <sheetData>
    <row r="1" spans="1:10" ht="13.8" customHeight="1" x14ac:dyDescent="0.25">
      <c r="A1" s="1" t="s">
        <v>24</v>
      </c>
      <c r="B1" s="1" t="s">
        <v>17</v>
      </c>
      <c r="C1" s="1" t="s">
        <v>16</v>
      </c>
      <c r="D1" s="1" t="s">
        <v>15</v>
      </c>
      <c r="E1" s="1" t="s">
        <v>14</v>
      </c>
      <c r="F1" s="1" t="s">
        <v>13</v>
      </c>
      <c r="G1" s="1" t="s">
        <v>0</v>
      </c>
      <c r="H1" s="1" t="s">
        <v>12</v>
      </c>
      <c r="I1" s="1" t="s">
        <v>11</v>
      </c>
      <c r="J1" s="2"/>
    </row>
    <row r="2" spans="1:10" ht="13.8" customHeight="1" x14ac:dyDescent="0.25">
      <c r="A2" s="4" t="s">
        <v>18</v>
      </c>
      <c r="B2" s="6">
        <v>0.83330000000000004</v>
      </c>
      <c r="C2" s="6">
        <v>0.84619999999999995</v>
      </c>
      <c r="D2" s="6">
        <v>0.8</v>
      </c>
      <c r="E2" s="6">
        <v>0.76919999999999999</v>
      </c>
      <c r="F2" s="6">
        <v>0.90910000000000002</v>
      </c>
      <c r="G2" s="4">
        <v>0.70099999999999996</v>
      </c>
      <c r="H2" s="6" t="s">
        <v>1</v>
      </c>
      <c r="I2" s="6" t="s">
        <v>2</v>
      </c>
      <c r="J2" s="2"/>
    </row>
    <row r="3" spans="1:10" ht="13.8" customHeight="1" x14ac:dyDescent="0.25">
      <c r="A3" s="4" t="s">
        <v>19</v>
      </c>
      <c r="B3" s="6">
        <v>0.92</v>
      </c>
      <c r="C3" s="6">
        <v>0.92310000000000003</v>
      </c>
      <c r="D3" s="6">
        <v>0.89290000000000003</v>
      </c>
      <c r="E3" s="6">
        <v>0.88460000000000005</v>
      </c>
      <c r="F3" s="6">
        <v>0.95379999999999998</v>
      </c>
      <c r="G3" s="4">
        <v>0.84899999999999998</v>
      </c>
      <c r="H3" s="6" t="s">
        <v>1</v>
      </c>
      <c r="I3" s="6" t="s">
        <v>2</v>
      </c>
      <c r="J3" s="2"/>
    </row>
    <row r="4" spans="1:10" ht="13.8" customHeight="1" x14ac:dyDescent="0.25">
      <c r="A4" s="4" t="s">
        <v>20</v>
      </c>
      <c r="B4" s="6">
        <v>0.92</v>
      </c>
      <c r="C4" s="6">
        <v>0.92310000000000003</v>
      </c>
      <c r="D4" s="6">
        <v>0.89290000000000003</v>
      </c>
      <c r="E4" s="6">
        <v>0.88460000000000005</v>
      </c>
      <c r="F4" s="6">
        <v>0.95379999999999998</v>
      </c>
      <c r="G4" s="4">
        <v>0.84899999999999998</v>
      </c>
      <c r="H4" s="6" t="s">
        <v>1</v>
      </c>
      <c r="I4" s="6" t="s">
        <v>2</v>
      </c>
      <c r="J4" s="2"/>
    </row>
    <row r="5" spans="1:10" ht="13.8" customHeight="1" x14ac:dyDescent="0.25">
      <c r="A5" s="4" t="s">
        <v>22</v>
      </c>
      <c r="B5" s="6">
        <v>0.77270000000000005</v>
      </c>
      <c r="C5" s="6">
        <v>0.80769999999999997</v>
      </c>
      <c r="D5" s="6">
        <v>0.73529999999999995</v>
      </c>
      <c r="E5" s="6">
        <v>0.65380000000000005</v>
      </c>
      <c r="F5" s="6">
        <v>0.94440000000000002</v>
      </c>
      <c r="G5" s="4">
        <v>0.64700000000000002</v>
      </c>
      <c r="H5" s="6" t="s">
        <v>1</v>
      </c>
      <c r="I5" s="6" t="s">
        <v>2</v>
      </c>
      <c r="J5" s="7"/>
    </row>
    <row r="6" spans="1:10" ht="13.8" customHeight="1" x14ac:dyDescent="0.25">
      <c r="A6" s="4" t="s">
        <v>21</v>
      </c>
      <c r="B6" s="6">
        <v>0.8</v>
      </c>
      <c r="C6" s="6">
        <v>0.82689999999999997</v>
      </c>
      <c r="D6" s="6">
        <v>0.75760000000000005</v>
      </c>
      <c r="E6" s="6">
        <v>0.69230000000000003</v>
      </c>
      <c r="F6" s="6">
        <v>0.94740000000000002</v>
      </c>
      <c r="G6" s="4">
        <v>0.67900000000000005</v>
      </c>
      <c r="H6" s="6" t="s">
        <v>3</v>
      </c>
      <c r="I6" s="6" t="s">
        <v>4</v>
      </c>
      <c r="J6" s="2"/>
    </row>
    <row r="7" spans="1:10" ht="13.8" customHeight="1" x14ac:dyDescent="0.25">
      <c r="A7" s="11" t="s">
        <v>5</v>
      </c>
      <c r="B7" s="11"/>
      <c r="C7" s="11"/>
      <c r="D7" s="11"/>
      <c r="E7" s="11"/>
      <c r="F7" s="11"/>
      <c r="G7" s="8">
        <f>ROUND(((SUM(G2:G6) + 5))*10,1)</f>
        <v>87.3</v>
      </c>
      <c r="H7" s="2"/>
      <c r="I7" s="2"/>
      <c r="J7" s="2"/>
    </row>
    <row r="8" spans="1:10" ht="13.8" customHeight="1" x14ac:dyDescent="0.25">
      <c r="A8" s="1" t="s">
        <v>25</v>
      </c>
      <c r="B8" s="1" t="s">
        <v>17</v>
      </c>
      <c r="C8" s="1" t="s">
        <v>16</v>
      </c>
      <c r="D8" s="1" t="s">
        <v>15</v>
      </c>
      <c r="E8" s="1" t="s">
        <v>14</v>
      </c>
      <c r="F8" s="1" t="s">
        <v>13</v>
      </c>
      <c r="G8" s="1" t="s">
        <v>0</v>
      </c>
      <c r="H8" s="1" t="s">
        <v>12</v>
      </c>
      <c r="I8" s="1" t="s">
        <v>11</v>
      </c>
      <c r="J8" s="2"/>
    </row>
    <row r="9" spans="1:10" ht="13.8" customHeight="1" x14ac:dyDescent="0.25">
      <c r="A9" s="4" t="s">
        <v>18</v>
      </c>
      <c r="B9" s="6">
        <v>0.86539999999999995</v>
      </c>
      <c r="C9" s="6">
        <v>0.91300000000000003</v>
      </c>
      <c r="D9" s="6">
        <v>0.8276</v>
      </c>
      <c r="E9" s="6">
        <v>0.80769999999999997</v>
      </c>
      <c r="F9" s="6">
        <v>0.91300000000000003</v>
      </c>
      <c r="G9" s="4">
        <v>0.73599999999999999</v>
      </c>
      <c r="H9" s="6" t="s">
        <v>1</v>
      </c>
      <c r="I9" s="6" t="s">
        <v>2</v>
      </c>
      <c r="J9" s="7"/>
    </row>
    <row r="10" spans="1:10" ht="13.8" customHeight="1" x14ac:dyDescent="0.25">
      <c r="A10" s="4" t="s">
        <v>19</v>
      </c>
      <c r="B10" s="6">
        <v>0.84619999999999995</v>
      </c>
      <c r="C10" s="6">
        <v>0.90910000000000002</v>
      </c>
      <c r="D10" s="6">
        <v>0.8</v>
      </c>
      <c r="E10" s="6">
        <v>0.76919999999999999</v>
      </c>
      <c r="F10" s="6">
        <v>0.90910000000000002</v>
      </c>
      <c r="G10" s="4">
        <v>0.70099999999999996</v>
      </c>
      <c r="H10" s="6" t="s">
        <v>1</v>
      </c>
      <c r="I10" s="6" t="s">
        <v>2</v>
      </c>
      <c r="J10" s="7"/>
    </row>
    <row r="11" spans="1:10" ht="13.8" customHeight="1" x14ac:dyDescent="0.25">
      <c r="A11" s="4" t="s">
        <v>20</v>
      </c>
      <c r="B11" s="6">
        <v>0.84619999999999995</v>
      </c>
      <c r="C11" s="6">
        <v>0.90910000000000002</v>
      </c>
      <c r="D11" s="6">
        <v>0.8</v>
      </c>
      <c r="E11" s="6">
        <v>0.76919999999999999</v>
      </c>
      <c r="F11" s="6">
        <v>0.90910000000000002</v>
      </c>
      <c r="G11" s="4">
        <v>0.70099999999999996</v>
      </c>
      <c r="H11" s="6" t="s">
        <v>1</v>
      </c>
      <c r="I11" s="6" t="s">
        <v>2</v>
      </c>
      <c r="J11" s="7"/>
    </row>
    <row r="12" spans="1:10" ht="13.8" customHeight="1" x14ac:dyDescent="0.25">
      <c r="A12" s="4" t="s">
        <v>22</v>
      </c>
      <c r="B12" s="6">
        <v>0.8296</v>
      </c>
      <c r="C12" s="6">
        <v>0.86960000000000004</v>
      </c>
      <c r="D12" s="6">
        <v>0.79310000000000003</v>
      </c>
      <c r="E12" s="6">
        <v>0.76919999999999999</v>
      </c>
      <c r="F12" s="6">
        <v>0.86960000000000004</v>
      </c>
      <c r="G12" s="4">
        <v>0.65800000000000003</v>
      </c>
      <c r="H12" s="6" t="s">
        <v>1</v>
      </c>
      <c r="I12" s="6" t="s">
        <v>2</v>
      </c>
      <c r="J12" s="7"/>
    </row>
    <row r="13" spans="1:10" ht="13.8" customHeight="1" x14ac:dyDescent="0.25">
      <c r="A13" s="4" t="s">
        <v>21</v>
      </c>
      <c r="B13" s="6">
        <v>0.76919999999999999</v>
      </c>
      <c r="C13" s="6">
        <v>0.9375</v>
      </c>
      <c r="D13" s="6">
        <v>0.69440000000000002</v>
      </c>
      <c r="E13" s="6">
        <v>0.57689999999999997</v>
      </c>
      <c r="F13" s="6">
        <v>0.9375</v>
      </c>
      <c r="G13" s="4">
        <v>0.58299999999999996</v>
      </c>
      <c r="H13" s="6" t="s">
        <v>1</v>
      </c>
      <c r="I13" s="6" t="s">
        <v>2</v>
      </c>
      <c r="J13" s="7"/>
    </row>
    <row r="14" spans="1:10" ht="13.8" customHeight="1" x14ac:dyDescent="0.25">
      <c r="A14" s="11" t="s">
        <v>5</v>
      </c>
      <c r="B14" s="11"/>
      <c r="C14" s="11"/>
      <c r="D14" s="11"/>
      <c r="E14" s="11"/>
      <c r="F14" s="11"/>
      <c r="G14" s="8">
        <f>ROUND(((SUM(G9:G13) + 5))*10,1)</f>
        <v>83.8</v>
      </c>
      <c r="H14" s="2"/>
      <c r="I14" s="2"/>
      <c r="J14" s="7"/>
    </row>
    <row r="15" spans="1:10" ht="13.8" customHeight="1" x14ac:dyDescent="0.25">
      <c r="A15" s="1" t="s">
        <v>26</v>
      </c>
      <c r="B15" s="1" t="s">
        <v>17</v>
      </c>
      <c r="C15" s="1" t="s">
        <v>16</v>
      </c>
      <c r="D15" s="1" t="s">
        <v>15</v>
      </c>
      <c r="E15" s="1" t="s">
        <v>14</v>
      </c>
      <c r="F15" s="1" t="s">
        <v>13</v>
      </c>
      <c r="G15" s="1" t="s">
        <v>0</v>
      </c>
      <c r="H15" s="1" t="s">
        <v>12</v>
      </c>
      <c r="I15" s="1" t="s">
        <v>11</v>
      </c>
      <c r="J15" s="2"/>
    </row>
    <row r="16" spans="1:10" ht="13.8" customHeight="1" x14ac:dyDescent="0.25">
      <c r="A16" s="4" t="s">
        <v>18</v>
      </c>
      <c r="B16" s="5" t="s">
        <v>23</v>
      </c>
      <c r="C16" s="6">
        <v>0</v>
      </c>
      <c r="D16" s="6">
        <v>0</v>
      </c>
      <c r="E16" s="6">
        <v>0</v>
      </c>
      <c r="F16" s="6">
        <v>0</v>
      </c>
      <c r="G16" s="4">
        <v>-1</v>
      </c>
      <c r="H16" s="6" t="s">
        <v>6</v>
      </c>
      <c r="I16" s="6" t="s">
        <v>6</v>
      </c>
      <c r="J16" s="2"/>
    </row>
    <row r="17" spans="1:10" ht="13.8" customHeight="1" x14ac:dyDescent="0.25">
      <c r="A17" s="4" t="s">
        <v>19</v>
      </c>
      <c r="B17" s="6">
        <v>0.84619999999999995</v>
      </c>
      <c r="C17" s="6">
        <v>0.84619999999999995</v>
      </c>
      <c r="D17" s="6">
        <v>0.84619999999999995</v>
      </c>
      <c r="E17" s="6">
        <v>0.84619999999999995</v>
      </c>
      <c r="F17" s="6">
        <v>0.84619999999999995</v>
      </c>
      <c r="G17" s="4">
        <v>0.69199999999999995</v>
      </c>
      <c r="H17" s="6" t="s">
        <v>1</v>
      </c>
      <c r="I17" s="6" t="s">
        <v>2</v>
      </c>
      <c r="J17" s="2"/>
    </row>
    <row r="18" spans="1:10" ht="13.8" customHeight="1" x14ac:dyDescent="0.25">
      <c r="A18" s="4" t="s">
        <v>20</v>
      </c>
      <c r="B18" s="6">
        <v>0.7843</v>
      </c>
      <c r="C18" s="6">
        <v>0.78849999999999998</v>
      </c>
      <c r="D18" s="6">
        <v>0.77780000000000005</v>
      </c>
      <c r="E18" s="6">
        <v>0.76919999999999999</v>
      </c>
      <c r="F18" s="6">
        <v>0.8</v>
      </c>
      <c r="G18" s="4">
        <v>0.57699999999999996</v>
      </c>
      <c r="H18" s="6" t="s">
        <v>1</v>
      </c>
      <c r="I18" s="6" t="s">
        <v>2</v>
      </c>
      <c r="J18" s="2"/>
    </row>
    <row r="19" spans="1:10" ht="13.8" customHeight="1" x14ac:dyDescent="0.25">
      <c r="A19" s="4" t="s">
        <v>22</v>
      </c>
      <c r="B19" s="6">
        <v>0.77270000000000005</v>
      </c>
      <c r="C19" s="6">
        <v>0.80769999999999997</v>
      </c>
      <c r="D19" s="6">
        <v>0.73529999999999995</v>
      </c>
      <c r="E19" s="6">
        <v>0.65380000000000005</v>
      </c>
      <c r="F19" s="6">
        <v>0.94440000000000002</v>
      </c>
      <c r="G19" s="4">
        <v>0.64700000000000002</v>
      </c>
      <c r="H19" s="6" t="s">
        <v>1</v>
      </c>
      <c r="I19" s="6" t="s">
        <v>2</v>
      </c>
      <c r="J19" s="7"/>
    </row>
    <row r="20" spans="1:10" ht="13.8" customHeight="1" x14ac:dyDescent="0.25">
      <c r="A20" s="4" t="s">
        <v>21</v>
      </c>
      <c r="B20" s="6">
        <v>0.78259999999999996</v>
      </c>
      <c r="C20" s="6">
        <v>0.80769999999999997</v>
      </c>
      <c r="D20" s="6">
        <v>0.75</v>
      </c>
      <c r="E20" s="6">
        <v>0.69230000000000003</v>
      </c>
      <c r="F20" s="6">
        <v>0.9</v>
      </c>
      <c r="G20" s="4">
        <v>0.63200000000000001</v>
      </c>
      <c r="H20" s="6" t="s">
        <v>3</v>
      </c>
      <c r="I20" s="6" t="s">
        <v>4</v>
      </c>
      <c r="J20" s="2"/>
    </row>
    <row r="21" spans="1:10" ht="13.8" customHeight="1" x14ac:dyDescent="0.25">
      <c r="A21" s="11" t="s">
        <v>5</v>
      </c>
      <c r="B21" s="11"/>
      <c r="C21" s="11"/>
      <c r="D21" s="11"/>
      <c r="E21" s="11"/>
      <c r="F21" s="11"/>
      <c r="G21" s="8">
        <f>ROUND(((SUM(G16:G20) + 5))*10,1)</f>
        <v>65.5</v>
      </c>
      <c r="H21" s="2"/>
      <c r="I21" s="2"/>
      <c r="J21" s="2"/>
    </row>
    <row r="22" spans="1:10" ht="13.8" customHeight="1" x14ac:dyDescent="0.25">
      <c r="A22" s="1" t="s">
        <v>27</v>
      </c>
      <c r="B22" s="1" t="s">
        <v>17</v>
      </c>
      <c r="C22" s="1" t="s">
        <v>16</v>
      </c>
      <c r="D22" s="1" t="s">
        <v>15</v>
      </c>
      <c r="E22" s="1" t="s">
        <v>14</v>
      </c>
      <c r="F22" s="1" t="s">
        <v>13</v>
      </c>
      <c r="G22" s="1" t="s">
        <v>0</v>
      </c>
      <c r="H22" s="1" t="s">
        <v>12</v>
      </c>
      <c r="I22" s="1" t="s">
        <v>11</v>
      </c>
      <c r="J22" s="2"/>
    </row>
    <row r="23" spans="1:10" ht="13.8" customHeight="1" x14ac:dyDescent="0.25">
      <c r="A23" s="4" t="s">
        <v>18</v>
      </c>
      <c r="B23" s="6">
        <v>0.89800000000000002</v>
      </c>
      <c r="C23" s="6">
        <v>0.90380000000000005</v>
      </c>
      <c r="D23" s="6">
        <v>0.86209999999999998</v>
      </c>
      <c r="E23" s="6">
        <v>0.84619999999999995</v>
      </c>
      <c r="F23" s="6">
        <v>0.95650000000000002</v>
      </c>
      <c r="G23" s="4">
        <v>0.81299999999999994</v>
      </c>
      <c r="H23" s="6" t="s">
        <v>1</v>
      </c>
      <c r="I23" s="6" t="s">
        <v>2</v>
      </c>
      <c r="J23" s="2"/>
    </row>
    <row r="24" spans="1:10" ht="13.8" customHeight="1" x14ac:dyDescent="0.25">
      <c r="A24" s="4" t="s">
        <v>19</v>
      </c>
      <c r="B24" s="6">
        <v>0.88</v>
      </c>
      <c r="C24" s="6">
        <v>0.88460000000000005</v>
      </c>
      <c r="D24" s="6">
        <v>0.85709999999999997</v>
      </c>
      <c r="E24" s="6">
        <v>0.84619999999999995</v>
      </c>
      <c r="F24" s="6">
        <v>0.91669999999999996</v>
      </c>
      <c r="G24" s="4">
        <v>0.77200000000000002</v>
      </c>
      <c r="H24" s="6" t="s">
        <v>1</v>
      </c>
      <c r="I24" s="6" t="s">
        <v>2</v>
      </c>
      <c r="J24" s="2"/>
    </row>
    <row r="25" spans="1:10" ht="13.8" customHeight="1" x14ac:dyDescent="0.25">
      <c r="A25" s="4" t="s">
        <v>20</v>
      </c>
      <c r="B25" s="6">
        <v>0.83330000000000004</v>
      </c>
      <c r="C25" s="6">
        <v>0.84619999999999995</v>
      </c>
      <c r="D25" s="6">
        <v>0.8</v>
      </c>
      <c r="E25" s="6">
        <v>0.76919999999999999</v>
      </c>
      <c r="F25" s="6">
        <v>0.90910000000000002</v>
      </c>
      <c r="G25" s="4">
        <v>0.70099999999999996</v>
      </c>
      <c r="H25" s="6" t="s">
        <v>1</v>
      </c>
      <c r="I25" s="6" t="s">
        <v>2</v>
      </c>
      <c r="J25" s="2"/>
    </row>
    <row r="26" spans="1:10" ht="13.8" customHeight="1" x14ac:dyDescent="0.25">
      <c r="A26" s="4" t="s">
        <v>22</v>
      </c>
      <c r="B26" s="6">
        <v>0.81630000000000003</v>
      </c>
      <c r="C26" s="6">
        <v>0.82689999999999997</v>
      </c>
      <c r="D26" s="6">
        <v>0.79310000000000003</v>
      </c>
      <c r="E26" s="6">
        <v>0.76919999999999999</v>
      </c>
      <c r="F26" s="6">
        <v>0.86960000000000004</v>
      </c>
      <c r="G26" s="4">
        <v>0.65800000000000003</v>
      </c>
      <c r="H26" s="6" t="s">
        <v>1</v>
      </c>
      <c r="I26" s="6" t="s">
        <v>2</v>
      </c>
      <c r="J26" s="7"/>
    </row>
    <row r="27" spans="1:10" ht="13.8" customHeight="1" x14ac:dyDescent="0.25">
      <c r="A27" s="4" t="s">
        <v>21</v>
      </c>
      <c r="B27" s="6">
        <v>0.8</v>
      </c>
      <c r="C27" s="6">
        <v>0.82689999999999997</v>
      </c>
      <c r="D27" s="6">
        <v>0.75760000000000005</v>
      </c>
      <c r="E27" s="6">
        <v>0.69230000000000003</v>
      </c>
      <c r="F27" s="6">
        <v>0.94740000000000002</v>
      </c>
      <c r="G27" s="4">
        <v>0.67900000000000005</v>
      </c>
      <c r="H27" s="6" t="s">
        <v>1</v>
      </c>
      <c r="I27" s="6" t="s">
        <v>2</v>
      </c>
      <c r="J27" s="2"/>
    </row>
    <row r="28" spans="1:10" ht="13.8" customHeight="1" x14ac:dyDescent="0.25">
      <c r="A28" s="11" t="s">
        <v>5</v>
      </c>
      <c r="B28" s="11"/>
      <c r="C28" s="11"/>
      <c r="D28" s="11"/>
      <c r="E28" s="11"/>
      <c r="F28" s="11"/>
      <c r="G28" s="8">
        <f>ROUND(((SUM(G23:G27) + 5))*10,1)</f>
        <v>86.2</v>
      </c>
      <c r="H28" s="2"/>
      <c r="I28" s="2"/>
      <c r="J28" s="2"/>
    </row>
  </sheetData>
  <mergeCells count="4">
    <mergeCell ref="A7:F7"/>
    <mergeCell ref="A14:F14"/>
    <mergeCell ref="A21:F21"/>
    <mergeCell ref="A28:F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5E4A-BA15-426C-849D-5D0377DE794D}">
  <dimension ref="A1:J28"/>
  <sheetViews>
    <sheetView workbookViewId="0"/>
  </sheetViews>
  <sheetFormatPr defaultRowHeight="13.8" customHeight="1" x14ac:dyDescent="0.25"/>
  <cols>
    <col min="1" max="1" width="33.33203125" style="3" customWidth="1"/>
    <col min="2" max="7" width="14.44140625" style="3" customWidth="1"/>
    <col min="8" max="9" width="41.6640625" style="3" customWidth="1"/>
    <col min="10" max="10" width="0.5546875" style="3" customWidth="1"/>
    <col min="11" max="16384" width="8.88671875" style="3"/>
  </cols>
  <sheetData>
    <row r="1" spans="1:10" ht="13.8" customHeight="1" x14ac:dyDescent="0.25">
      <c r="A1" s="1" t="s">
        <v>24</v>
      </c>
      <c r="B1" s="1" t="s">
        <v>17</v>
      </c>
      <c r="C1" s="1" t="s">
        <v>16</v>
      </c>
      <c r="D1" s="1" t="s">
        <v>15</v>
      </c>
      <c r="E1" s="1" t="s">
        <v>14</v>
      </c>
      <c r="F1" s="1" t="s">
        <v>13</v>
      </c>
      <c r="G1" s="1" t="s">
        <v>0</v>
      </c>
      <c r="H1" s="1" t="s">
        <v>12</v>
      </c>
      <c r="I1" s="1" t="s">
        <v>11</v>
      </c>
      <c r="J1" s="2"/>
    </row>
    <row r="2" spans="1:10" ht="13.8" customHeight="1" x14ac:dyDescent="0.25">
      <c r="A2" s="4" t="s">
        <v>18</v>
      </c>
      <c r="B2" s="5" t="s">
        <v>23</v>
      </c>
      <c r="C2" s="6">
        <v>0</v>
      </c>
      <c r="D2" s="6">
        <v>0</v>
      </c>
      <c r="E2" s="6">
        <v>0</v>
      </c>
      <c r="F2" s="6">
        <v>0</v>
      </c>
      <c r="G2" s="4">
        <v>-1</v>
      </c>
      <c r="H2" s="6" t="s">
        <v>6</v>
      </c>
      <c r="I2" s="6" t="s">
        <v>4</v>
      </c>
      <c r="J2" s="2"/>
    </row>
    <row r="3" spans="1:10" ht="13.8" customHeight="1" x14ac:dyDescent="0.25">
      <c r="A3" s="4" t="s">
        <v>19</v>
      </c>
      <c r="B3" s="5" t="s">
        <v>23</v>
      </c>
      <c r="C3" s="6">
        <v>0</v>
      </c>
      <c r="D3" s="6">
        <v>0</v>
      </c>
      <c r="E3" s="6">
        <v>0</v>
      </c>
      <c r="F3" s="6">
        <v>0</v>
      </c>
      <c r="G3" s="4">
        <v>-1</v>
      </c>
      <c r="H3" s="6" t="s">
        <v>6</v>
      </c>
      <c r="I3" s="6" t="s">
        <v>4</v>
      </c>
      <c r="J3" s="2"/>
    </row>
    <row r="4" spans="1:10" ht="13.8" customHeight="1" x14ac:dyDescent="0.25">
      <c r="A4" s="4" t="s">
        <v>20</v>
      </c>
      <c r="B4" s="5" t="s">
        <v>23</v>
      </c>
      <c r="C4" s="6">
        <v>0</v>
      </c>
      <c r="D4" s="6">
        <v>0</v>
      </c>
      <c r="E4" s="6">
        <v>0</v>
      </c>
      <c r="F4" s="6">
        <v>0</v>
      </c>
      <c r="G4" s="4">
        <v>-1</v>
      </c>
      <c r="H4" s="6" t="s">
        <v>6</v>
      </c>
      <c r="I4" s="6" t="s">
        <v>4</v>
      </c>
      <c r="J4" s="2"/>
    </row>
    <row r="5" spans="1:10" ht="13.8" customHeight="1" x14ac:dyDescent="0.25">
      <c r="A5" s="4" t="s">
        <v>22</v>
      </c>
      <c r="B5" s="6">
        <v>0.84</v>
      </c>
      <c r="C5" s="6">
        <v>0.84619999999999995</v>
      </c>
      <c r="D5" s="6">
        <v>0.82140000000000002</v>
      </c>
      <c r="E5" s="6">
        <v>0.80769999999999997</v>
      </c>
      <c r="F5" s="6">
        <v>0.875</v>
      </c>
      <c r="G5" s="4">
        <v>0.69399999999999995</v>
      </c>
      <c r="H5" s="6" t="s">
        <v>1</v>
      </c>
      <c r="I5" s="6" t="s">
        <v>2</v>
      </c>
      <c r="J5" s="7"/>
    </row>
    <row r="6" spans="1:10" ht="13.8" customHeight="1" x14ac:dyDescent="0.25">
      <c r="A6" s="4" t="s">
        <v>21</v>
      </c>
      <c r="B6" s="6">
        <v>0.80769999999999997</v>
      </c>
      <c r="C6" s="6">
        <v>0.80769999999999997</v>
      </c>
      <c r="D6" s="6">
        <v>0.80769999999999997</v>
      </c>
      <c r="E6" s="6">
        <v>0.80769999999999997</v>
      </c>
      <c r="F6" s="6">
        <v>0.80769999999999997</v>
      </c>
      <c r="G6" s="4">
        <v>0.61499999999999999</v>
      </c>
      <c r="H6" s="6" t="s">
        <v>1</v>
      </c>
      <c r="I6" s="6" t="s">
        <v>2</v>
      </c>
      <c r="J6" s="2"/>
    </row>
    <row r="7" spans="1:10" ht="13.8" customHeight="1" x14ac:dyDescent="0.25">
      <c r="A7" s="11" t="s">
        <v>5</v>
      </c>
      <c r="B7" s="11"/>
      <c r="C7" s="11"/>
      <c r="D7" s="11"/>
      <c r="E7" s="11"/>
      <c r="F7" s="11"/>
      <c r="G7" s="8">
        <f>ROUND(((SUM(G2:G6) + 5))*10,1)</f>
        <v>33.1</v>
      </c>
      <c r="H7" s="2"/>
      <c r="I7" s="2"/>
      <c r="J7" s="2"/>
    </row>
    <row r="8" spans="1:10" ht="13.8" customHeight="1" x14ac:dyDescent="0.25">
      <c r="A8" s="1" t="s">
        <v>25</v>
      </c>
      <c r="B8" s="1" t="s">
        <v>17</v>
      </c>
      <c r="C8" s="1" t="s">
        <v>16</v>
      </c>
      <c r="D8" s="1" t="s">
        <v>15</v>
      </c>
      <c r="E8" s="1" t="s">
        <v>14</v>
      </c>
      <c r="F8" s="1" t="s">
        <v>13</v>
      </c>
      <c r="G8" s="1" t="s">
        <v>0</v>
      </c>
      <c r="H8" s="1" t="s">
        <v>12</v>
      </c>
      <c r="I8" s="1" t="s">
        <v>11</v>
      </c>
      <c r="J8" s="2"/>
    </row>
    <row r="9" spans="1:10" ht="13.8" customHeight="1" x14ac:dyDescent="0.25">
      <c r="A9" s="4" t="s">
        <v>18</v>
      </c>
      <c r="B9" s="5" t="s">
        <v>23</v>
      </c>
      <c r="C9" s="6">
        <v>0</v>
      </c>
      <c r="D9" s="6">
        <v>0</v>
      </c>
      <c r="E9" s="6">
        <v>0</v>
      </c>
      <c r="F9" s="6">
        <v>0</v>
      </c>
      <c r="G9" s="4">
        <v>-1</v>
      </c>
      <c r="H9" s="6" t="s">
        <v>6</v>
      </c>
      <c r="I9" s="6" t="s">
        <v>4</v>
      </c>
      <c r="J9" s="7"/>
    </row>
    <row r="10" spans="1:10" ht="13.8" customHeight="1" x14ac:dyDescent="0.25">
      <c r="A10" s="4" t="s">
        <v>19</v>
      </c>
      <c r="B10" s="5" t="s">
        <v>23</v>
      </c>
      <c r="C10" s="6">
        <v>0</v>
      </c>
      <c r="D10" s="6">
        <v>0</v>
      </c>
      <c r="E10" s="6">
        <v>0</v>
      </c>
      <c r="F10" s="6">
        <v>0</v>
      </c>
      <c r="G10" s="4">
        <v>-1</v>
      </c>
      <c r="H10" s="6" t="s">
        <v>6</v>
      </c>
      <c r="I10" s="6" t="s">
        <v>4</v>
      </c>
      <c r="J10" s="7"/>
    </row>
    <row r="11" spans="1:10" ht="13.8" customHeight="1" x14ac:dyDescent="0.25">
      <c r="A11" s="4" t="s">
        <v>20</v>
      </c>
      <c r="B11" s="5" t="s">
        <v>23</v>
      </c>
      <c r="C11" s="6">
        <v>0</v>
      </c>
      <c r="D11" s="6">
        <v>0</v>
      </c>
      <c r="E11" s="6">
        <v>0</v>
      </c>
      <c r="F11" s="6">
        <v>0</v>
      </c>
      <c r="G11" s="4">
        <v>-1</v>
      </c>
      <c r="H11" s="6" t="s">
        <v>6</v>
      </c>
      <c r="I11" s="6" t="s">
        <v>4</v>
      </c>
      <c r="J11" s="7"/>
    </row>
    <row r="12" spans="1:10" ht="13.8" customHeight="1" x14ac:dyDescent="0.25">
      <c r="A12" s="4" t="s">
        <v>22</v>
      </c>
      <c r="B12" s="6">
        <v>0.78259999999999996</v>
      </c>
      <c r="C12" s="6">
        <v>0.80769999999999997</v>
      </c>
      <c r="D12" s="6">
        <v>0.75</v>
      </c>
      <c r="E12" s="6">
        <v>0.69230000000000003</v>
      </c>
      <c r="F12" s="6">
        <v>0.9</v>
      </c>
      <c r="G12" s="4">
        <v>0.63200000000000001</v>
      </c>
      <c r="H12" s="6" t="s">
        <v>1</v>
      </c>
      <c r="I12" s="6" t="s">
        <v>2</v>
      </c>
      <c r="J12" s="7"/>
    </row>
    <row r="13" spans="1:10" ht="13.8" customHeight="1" x14ac:dyDescent="0.25">
      <c r="A13" s="4" t="s">
        <v>21</v>
      </c>
      <c r="B13" s="6">
        <v>0.76600000000000001</v>
      </c>
      <c r="C13" s="6">
        <v>0.78649999999999998</v>
      </c>
      <c r="D13" s="6">
        <v>0.7419</v>
      </c>
      <c r="E13" s="6">
        <v>0.69230000000000003</v>
      </c>
      <c r="F13" s="6">
        <v>0.85709999999999997</v>
      </c>
      <c r="G13" s="4">
        <v>0.58799999999999997</v>
      </c>
      <c r="H13" s="6" t="s">
        <v>1</v>
      </c>
      <c r="I13" s="6" t="s">
        <v>2</v>
      </c>
      <c r="J13" s="7"/>
    </row>
    <row r="14" spans="1:10" ht="13.8" customHeight="1" x14ac:dyDescent="0.25">
      <c r="A14" s="11" t="s">
        <v>5</v>
      </c>
      <c r="B14" s="11"/>
      <c r="C14" s="11"/>
      <c r="D14" s="11"/>
      <c r="E14" s="11"/>
      <c r="F14" s="11"/>
      <c r="G14" s="8">
        <f>ROUND(((SUM(G9:G13) + 5))*10,1)</f>
        <v>32.200000000000003</v>
      </c>
      <c r="H14" s="2"/>
      <c r="I14" s="2"/>
      <c r="J14" s="2"/>
    </row>
    <row r="15" spans="1:10" ht="13.8" customHeight="1" x14ac:dyDescent="0.25">
      <c r="A15" s="1" t="s">
        <v>26</v>
      </c>
      <c r="B15" s="1" t="s">
        <v>17</v>
      </c>
      <c r="C15" s="1" t="s">
        <v>16</v>
      </c>
      <c r="D15" s="1" t="s">
        <v>15</v>
      </c>
      <c r="E15" s="1" t="s">
        <v>14</v>
      </c>
      <c r="F15" s="1" t="s">
        <v>13</v>
      </c>
      <c r="G15" s="1" t="s">
        <v>0</v>
      </c>
      <c r="H15" s="1" t="s">
        <v>12</v>
      </c>
      <c r="I15" s="1" t="s">
        <v>11</v>
      </c>
      <c r="J15" s="2"/>
    </row>
    <row r="16" spans="1:10" ht="13.8" customHeight="1" x14ac:dyDescent="0.25">
      <c r="A16" s="4" t="s">
        <v>18</v>
      </c>
      <c r="B16" s="5" t="s">
        <v>23</v>
      </c>
      <c r="C16" s="6">
        <v>0</v>
      </c>
      <c r="D16" s="6">
        <v>0</v>
      </c>
      <c r="E16" s="6">
        <v>0</v>
      </c>
      <c r="F16" s="6">
        <v>0</v>
      </c>
      <c r="G16" s="4">
        <v>-1</v>
      </c>
      <c r="H16" s="6" t="s">
        <v>7</v>
      </c>
      <c r="I16" s="6" t="s">
        <v>8</v>
      </c>
      <c r="J16" s="2"/>
    </row>
    <row r="17" spans="1:10" ht="13.8" customHeight="1" x14ac:dyDescent="0.25">
      <c r="A17" s="4" t="s">
        <v>19</v>
      </c>
      <c r="B17" s="5" t="s">
        <v>23</v>
      </c>
      <c r="C17" s="6">
        <v>0</v>
      </c>
      <c r="D17" s="6">
        <v>0</v>
      </c>
      <c r="E17" s="6">
        <v>0</v>
      </c>
      <c r="F17" s="6">
        <v>0</v>
      </c>
      <c r="G17" s="4">
        <v>-1</v>
      </c>
      <c r="H17" s="6" t="s">
        <v>7</v>
      </c>
      <c r="I17" s="6" t="s">
        <v>8</v>
      </c>
      <c r="J17" s="2"/>
    </row>
    <row r="18" spans="1:10" ht="13.8" customHeight="1" x14ac:dyDescent="0.25">
      <c r="A18" s="4" t="s">
        <v>20</v>
      </c>
      <c r="B18" s="5" t="s">
        <v>23</v>
      </c>
      <c r="C18" s="6">
        <v>0</v>
      </c>
      <c r="D18" s="6">
        <v>0</v>
      </c>
      <c r="E18" s="6">
        <v>0</v>
      </c>
      <c r="F18" s="6">
        <v>0</v>
      </c>
      <c r="G18" s="4">
        <v>-1</v>
      </c>
      <c r="H18" s="6" t="s">
        <v>7</v>
      </c>
      <c r="I18" s="6" t="s">
        <v>8</v>
      </c>
      <c r="J18" s="2"/>
    </row>
    <row r="19" spans="1:10" ht="13.8" customHeight="1" x14ac:dyDescent="0.25">
      <c r="A19" s="4" t="s">
        <v>22</v>
      </c>
      <c r="B19" s="6">
        <v>0.82609999999999995</v>
      </c>
      <c r="C19" s="6">
        <v>0.84619999999999995</v>
      </c>
      <c r="D19" s="6">
        <v>0.78129999999999999</v>
      </c>
      <c r="E19" s="6">
        <v>0.73080000000000001</v>
      </c>
      <c r="F19" s="6">
        <v>0.95</v>
      </c>
      <c r="G19" s="4">
        <v>0.71199999999999997</v>
      </c>
      <c r="H19" s="6" t="s">
        <v>1</v>
      </c>
      <c r="I19" s="6" t="s">
        <v>2</v>
      </c>
      <c r="J19" s="7"/>
    </row>
    <row r="20" spans="1:10" ht="13.8" customHeight="1" x14ac:dyDescent="0.25">
      <c r="A20" s="4" t="s">
        <v>21</v>
      </c>
      <c r="B20" s="6">
        <v>0.86270000000000002</v>
      </c>
      <c r="C20" s="6">
        <v>0.86539999999999995</v>
      </c>
      <c r="D20" s="6">
        <v>0.85189999999999999</v>
      </c>
      <c r="E20" s="6">
        <v>0.84619999999999995</v>
      </c>
      <c r="F20" s="6">
        <v>0.88</v>
      </c>
      <c r="G20" s="4">
        <v>0.73099999999999998</v>
      </c>
      <c r="H20" s="6" t="s">
        <v>1</v>
      </c>
      <c r="I20" s="6" t="s">
        <v>2</v>
      </c>
      <c r="J20" s="2"/>
    </row>
    <row r="21" spans="1:10" ht="13.8" customHeight="1" x14ac:dyDescent="0.25">
      <c r="A21" s="11" t="s">
        <v>5</v>
      </c>
      <c r="B21" s="11"/>
      <c r="C21" s="11"/>
      <c r="D21" s="11"/>
      <c r="E21" s="11"/>
      <c r="F21" s="11"/>
      <c r="G21" s="8">
        <f>ROUND(((SUM(G16:G20) + 5))*10,1)</f>
        <v>34.4</v>
      </c>
      <c r="H21" s="2"/>
      <c r="I21" s="2"/>
      <c r="J21" s="2"/>
    </row>
    <row r="22" spans="1:10" ht="13.8" customHeight="1" x14ac:dyDescent="0.25">
      <c r="A22" s="1" t="s">
        <v>27</v>
      </c>
      <c r="B22" s="1" t="s">
        <v>17</v>
      </c>
      <c r="C22" s="1" t="s">
        <v>16</v>
      </c>
      <c r="D22" s="1" t="s">
        <v>15</v>
      </c>
      <c r="E22" s="1" t="s">
        <v>14</v>
      </c>
      <c r="F22" s="1" t="s">
        <v>13</v>
      </c>
      <c r="G22" s="1" t="s">
        <v>0</v>
      </c>
      <c r="H22" s="1" t="s">
        <v>12</v>
      </c>
      <c r="I22" s="1" t="s">
        <v>11</v>
      </c>
      <c r="J22" s="2"/>
    </row>
    <row r="23" spans="1:10" ht="13.8" customHeight="1" x14ac:dyDescent="0.25">
      <c r="A23" s="4" t="s">
        <v>18</v>
      </c>
      <c r="B23" s="5" t="s">
        <v>23</v>
      </c>
      <c r="C23" s="6">
        <v>0</v>
      </c>
      <c r="D23" s="6">
        <v>0</v>
      </c>
      <c r="E23" s="6">
        <v>0</v>
      </c>
      <c r="F23" s="6">
        <v>0</v>
      </c>
      <c r="G23" s="4">
        <v>-1</v>
      </c>
      <c r="H23" s="6" t="s">
        <v>6</v>
      </c>
      <c r="I23" s="6" t="s">
        <v>4</v>
      </c>
      <c r="J23" s="2"/>
    </row>
    <row r="24" spans="1:10" ht="13.8" customHeight="1" x14ac:dyDescent="0.25">
      <c r="A24" s="4" t="s">
        <v>19</v>
      </c>
      <c r="B24" s="5" t="s">
        <v>23</v>
      </c>
      <c r="C24" s="6">
        <v>0</v>
      </c>
      <c r="D24" s="6">
        <v>0</v>
      </c>
      <c r="E24" s="6">
        <v>0</v>
      </c>
      <c r="F24" s="6">
        <v>0</v>
      </c>
      <c r="G24" s="4">
        <v>-1</v>
      </c>
      <c r="H24" s="6" t="s">
        <v>6</v>
      </c>
      <c r="I24" s="6" t="s">
        <v>4</v>
      </c>
      <c r="J24" s="2"/>
    </row>
    <row r="25" spans="1:10" ht="13.8" customHeight="1" x14ac:dyDescent="0.25">
      <c r="A25" s="4" t="s">
        <v>20</v>
      </c>
      <c r="B25" s="5" t="s">
        <v>23</v>
      </c>
      <c r="C25" s="6">
        <v>0</v>
      </c>
      <c r="D25" s="6">
        <v>0</v>
      </c>
      <c r="E25" s="6">
        <v>0</v>
      </c>
      <c r="F25" s="6">
        <v>0</v>
      </c>
      <c r="G25" s="4">
        <v>-1</v>
      </c>
      <c r="H25" s="6" t="s">
        <v>6</v>
      </c>
      <c r="I25" s="6" t="s">
        <v>4</v>
      </c>
      <c r="J25" s="2"/>
    </row>
    <row r="26" spans="1:10" ht="13.8" customHeight="1" x14ac:dyDescent="0.25">
      <c r="A26" s="4" t="s">
        <v>22</v>
      </c>
      <c r="B26" s="6">
        <v>0.78259999999999996</v>
      </c>
      <c r="C26" s="6">
        <v>0.80769999999999997</v>
      </c>
      <c r="D26" s="6">
        <v>0.75</v>
      </c>
      <c r="E26" s="6">
        <v>0.69230000000000003</v>
      </c>
      <c r="F26" s="6">
        <v>0.9</v>
      </c>
      <c r="G26" s="4">
        <v>0.63200000000000001</v>
      </c>
      <c r="H26" s="6" t="s">
        <v>1</v>
      </c>
      <c r="I26" s="6" t="s">
        <v>2</v>
      </c>
      <c r="J26" s="7"/>
    </row>
    <row r="27" spans="1:10" ht="13.8" customHeight="1" x14ac:dyDescent="0.25">
      <c r="A27" s="4" t="s">
        <v>21</v>
      </c>
      <c r="B27" s="6">
        <v>0.76600000000000001</v>
      </c>
      <c r="C27" s="6">
        <v>0.78649999999999998</v>
      </c>
      <c r="D27" s="6">
        <v>0.7419</v>
      </c>
      <c r="E27" s="6">
        <v>0.69230000000000003</v>
      </c>
      <c r="F27" s="6">
        <v>0.85709999999999997</v>
      </c>
      <c r="G27" s="4">
        <v>0.58799999999999997</v>
      </c>
      <c r="H27" s="6" t="s">
        <v>1</v>
      </c>
      <c r="I27" s="6" t="s">
        <v>2</v>
      </c>
      <c r="J27" s="2"/>
    </row>
    <row r="28" spans="1:10" ht="13.8" customHeight="1" x14ac:dyDescent="0.25">
      <c r="A28" s="11" t="s">
        <v>5</v>
      </c>
      <c r="B28" s="11"/>
      <c r="C28" s="11"/>
      <c r="D28" s="11"/>
      <c r="E28" s="11"/>
      <c r="F28" s="11"/>
      <c r="G28" s="8">
        <f>ROUND(((SUM(G23:G27) + 5))*10,1)</f>
        <v>32.200000000000003</v>
      </c>
      <c r="H28" s="2"/>
      <c r="I28" s="2"/>
      <c r="J28" s="2"/>
    </row>
  </sheetData>
  <mergeCells count="4">
    <mergeCell ref="A7:F7"/>
    <mergeCell ref="A14:F14"/>
    <mergeCell ref="A21:F21"/>
    <mergeCell ref="A28:F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DDF8A-343E-493A-8AC6-7AB20298545B}">
  <dimension ref="A1:J28"/>
  <sheetViews>
    <sheetView workbookViewId="0"/>
  </sheetViews>
  <sheetFormatPr defaultRowHeight="13.8" customHeight="1" x14ac:dyDescent="0.25"/>
  <cols>
    <col min="1" max="1" width="33.33203125" style="3" customWidth="1"/>
    <col min="2" max="7" width="14.44140625" style="3" customWidth="1"/>
    <col min="8" max="9" width="41.6640625" style="3" customWidth="1"/>
    <col min="10" max="10" width="0.5546875" style="3" customWidth="1"/>
    <col min="11" max="16384" width="8.88671875" style="3"/>
  </cols>
  <sheetData>
    <row r="1" spans="1:10" ht="13.8" customHeight="1" x14ac:dyDescent="0.25">
      <c r="A1" s="1" t="s">
        <v>24</v>
      </c>
      <c r="B1" s="1" t="s">
        <v>17</v>
      </c>
      <c r="C1" s="1" t="s">
        <v>16</v>
      </c>
      <c r="D1" s="1" t="s">
        <v>15</v>
      </c>
      <c r="E1" s="1" t="s">
        <v>14</v>
      </c>
      <c r="F1" s="1" t="s">
        <v>13</v>
      </c>
      <c r="G1" s="1" t="s">
        <v>0</v>
      </c>
      <c r="H1" s="1" t="s">
        <v>12</v>
      </c>
      <c r="I1" s="1" t="s">
        <v>11</v>
      </c>
      <c r="J1" s="2"/>
    </row>
    <row r="2" spans="1:10" ht="13.8" customHeight="1" x14ac:dyDescent="0.25">
      <c r="A2" s="4" t="s">
        <v>18</v>
      </c>
      <c r="B2" s="5" t="s">
        <v>23</v>
      </c>
      <c r="C2" s="6">
        <v>0</v>
      </c>
      <c r="D2" s="6">
        <v>0</v>
      </c>
      <c r="E2" s="6">
        <v>0</v>
      </c>
      <c r="F2" s="6">
        <v>0</v>
      </c>
      <c r="G2" s="4">
        <v>-1</v>
      </c>
      <c r="H2" s="6" t="s">
        <v>9</v>
      </c>
      <c r="I2" s="6" t="s">
        <v>10</v>
      </c>
      <c r="J2" s="2"/>
    </row>
    <row r="3" spans="1:10" ht="13.8" customHeight="1" x14ac:dyDescent="0.25">
      <c r="A3" s="4" t="s">
        <v>19</v>
      </c>
      <c r="B3" s="6">
        <v>0.83020000000000005</v>
      </c>
      <c r="C3" s="6">
        <v>0.82689999999999997</v>
      </c>
      <c r="D3" s="6">
        <v>0.84</v>
      </c>
      <c r="E3" s="6">
        <v>0.84619999999999995</v>
      </c>
      <c r="F3" s="6">
        <v>0.81479999999999997</v>
      </c>
      <c r="G3" s="4">
        <v>0.65400000000000003</v>
      </c>
      <c r="H3" s="6" t="s">
        <v>9</v>
      </c>
      <c r="I3" s="6" t="s">
        <v>10</v>
      </c>
      <c r="J3" s="2"/>
    </row>
    <row r="4" spans="1:10" ht="13.8" customHeight="1" x14ac:dyDescent="0.25">
      <c r="A4" s="4" t="s">
        <v>20</v>
      </c>
      <c r="B4" s="6">
        <v>0.8679</v>
      </c>
      <c r="C4" s="6">
        <v>0.86539999999999995</v>
      </c>
      <c r="D4" s="6">
        <v>0.88</v>
      </c>
      <c r="E4" s="6">
        <v>0.88460000000000005</v>
      </c>
      <c r="F4" s="6">
        <v>0.85189999999999999</v>
      </c>
      <c r="G4" s="4">
        <v>0.73099999999999998</v>
      </c>
      <c r="H4" s="6" t="s">
        <v>9</v>
      </c>
      <c r="I4" s="6" t="s">
        <v>10</v>
      </c>
      <c r="J4" s="2"/>
    </row>
    <row r="5" spans="1:10" ht="13.8" customHeight="1" x14ac:dyDescent="0.25">
      <c r="A5" s="4" t="s">
        <v>22</v>
      </c>
      <c r="B5" s="6">
        <v>0.79069999999999996</v>
      </c>
      <c r="C5" s="6">
        <v>0.82689999999999997</v>
      </c>
      <c r="D5" s="6">
        <v>0.7429</v>
      </c>
      <c r="E5" s="6">
        <v>0.65380000000000005</v>
      </c>
      <c r="F5" s="6">
        <v>1</v>
      </c>
      <c r="G5" s="4">
        <v>0.69699999999999995</v>
      </c>
      <c r="H5" s="6" t="s">
        <v>9</v>
      </c>
      <c r="I5" s="6" t="s">
        <v>10</v>
      </c>
      <c r="J5" s="7"/>
    </row>
    <row r="6" spans="1:10" ht="13.8" customHeight="1" x14ac:dyDescent="0.25">
      <c r="A6" s="4" t="s">
        <v>21</v>
      </c>
      <c r="B6" s="6">
        <v>0.8085</v>
      </c>
      <c r="C6" s="6">
        <v>0.82689999999999997</v>
      </c>
      <c r="D6" s="6">
        <v>0.7742</v>
      </c>
      <c r="E6" s="6">
        <v>0.73080000000000001</v>
      </c>
      <c r="F6" s="6">
        <v>0.90480000000000005</v>
      </c>
      <c r="G6" s="4">
        <v>0.66600000000000004</v>
      </c>
      <c r="H6" s="6" t="s">
        <v>6</v>
      </c>
      <c r="I6" s="6" t="s">
        <v>4</v>
      </c>
      <c r="J6" s="2"/>
    </row>
    <row r="7" spans="1:10" s="10" customFormat="1" ht="13.8" customHeight="1" x14ac:dyDescent="0.25">
      <c r="A7" s="11" t="s">
        <v>5</v>
      </c>
      <c r="B7" s="11"/>
      <c r="C7" s="11"/>
      <c r="D7" s="11"/>
      <c r="E7" s="11"/>
      <c r="F7" s="11"/>
      <c r="G7" s="8">
        <f>ROUND(((SUM(G2:G6) + 5))*10,1)</f>
        <v>67.5</v>
      </c>
      <c r="H7" s="9"/>
      <c r="I7" s="9"/>
      <c r="J7" s="2"/>
    </row>
    <row r="8" spans="1:10" ht="13.8" customHeight="1" x14ac:dyDescent="0.25">
      <c r="A8" s="1" t="s">
        <v>25</v>
      </c>
      <c r="B8" s="1" t="s">
        <v>17</v>
      </c>
      <c r="C8" s="1" t="s">
        <v>16</v>
      </c>
      <c r="D8" s="1" t="s">
        <v>15</v>
      </c>
      <c r="E8" s="1" t="s">
        <v>14</v>
      </c>
      <c r="F8" s="1" t="s">
        <v>13</v>
      </c>
      <c r="G8" s="1" t="s">
        <v>0</v>
      </c>
      <c r="H8" s="1" t="s">
        <v>12</v>
      </c>
      <c r="I8" s="1" t="s">
        <v>11</v>
      </c>
      <c r="J8" s="2"/>
    </row>
    <row r="9" spans="1:10" ht="13.8" customHeight="1" x14ac:dyDescent="0.25">
      <c r="A9" s="4" t="s">
        <v>18</v>
      </c>
      <c r="B9" s="6">
        <v>0.75360000000000005</v>
      </c>
      <c r="C9" s="6">
        <v>0.67310000000000003</v>
      </c>
      <c r="D9" s="6">
        <v>1</v>
      </c>
      <c r="E9" s="6">
        <v>1</v>
      </c>
      <c r="F9" s="6">
        <v>0.60470000000000002</v>
      </c>
      <c r="G9" s="4">
        <v>0.45700000000000002</v>
      </c>
      <c r="H9" s="6" t="s">
        <v>9</v>
      </c>
      <c r="I9" s="6" t="s">
        <v>10</v>
      </c>
      <c r="J9" s="7"/>
    </row>
    <row r="10" spans="1:10" ht="13.8" customHeight="1" x14ac:dyDescent="0.25">
      <c r="A10" s="4" t="s">
        <v>19</v>
      </c>
      <c r="B10" s="6">
        <v>0.88890000000000002</v>
      </c>
      <c r="C10" s="6">
        <v>0.88460000000000005</v>
      </c>
      <c r="D10" s="6">
        <v>0.91669999999999996</v>
      </c>
      <c r="E10" s="6">
        <v>0.92310000000000003</v>
      </c>
      <c r="F10" s="6">
        <v>0.85709999999999997</v>
      </c>
      <c r="G10" s="4">
        <v>0.77200000000000002</v>
      </c>
      <c r="H10" s="6" t="s">
        <v>9</v>
      </c>
      <c r="I10" s="6" t="s">
        <v>10</v>
      </c>
      <c r="J10" s="7"/>
    </row>
    <row r="11" spans="1:10" ht="13.8" customHeight="1" x14ac:dyDescent="0.25">
      <c r="A11" s="4" t="s">
        <v>20</v>
      </c>
      <c r="B11" s="6">
        <v>0.86270000000000002</v>
      </c>
      <c r="C11" s="6">
        <v>0.86539999999999995</v>
      </c>
      <c r="D11" s="6">
        <v>0.85189999999999999</v>
      </c>
      <c r="E11" s="6">
        <v>0.84619999999999995</v>
      </c>
      <c r="F11" s="6">
        <v>0.88</v>
      </c>
      <c r="G11" s="4">
        <v>0.73099999999999998</v>
      </c>
      <c r="H11" s="6" t="s">
        <v>9</v>
      </c>
      <c r="I11" s="6" t="s">
        <v>10</v>
      </c>
      <c r="J11" s="7"/>
    </row>
    <row r="12" spans="1:10" ht="13.8" customHeight="1" x14ac:dyDescent="0.25">
      <c r="A12" s="4" t="s">
        <v>22</v>
      </c>
      <c r="B12" s="6">
        <v>0.77549999999999997</v>
      </c>
      <c r="C12" s="6">
        <v>0.78849999999999998</v>
      </c>
      <c r="D12" s="6">
        <v>0.75860000000000005</v>
      </c>
      <c r="E12" s="6">
        <v>0.73080000000000001</v>
      </c>
      <c r="F12" s="6">
        <v>0.82609999999999995</v>
      </c>
      <c r="G12" s="4">
        <v>0.58099999999999996</v>
      </c>
      <c r="H12" s="6" t="s">
        <v>9</v>
      </c>
      <c r="I12" s="6" t="s">
        <v>10</v>
      </c>
      <c r="J12" s="7"/>
    </row>
    <row r="13" spans="1:10" ht="13.8" customHeight="1" x14ac:dyDescent="0.25">
      <c r="A13" s="4" t="s">
        <v>21</v>
      </c>
      <c r="B13" s="6">
        <v>0.77270000000000005</v>
      </c>
      <c r="C13" s="6">
        <v>0.80769999999999997</v>
      </c>
      <c r="D13" s="6">
        <v>0.73529999999999995</v>
      </c>
      <c r="E13" s="6">
        <v>0.65380000000000005</v>
      </c>
      <c r="F13" s="6">
        <v>0.94440000000000002</v>
      </c>
      <c r="G13" s="4">
        <v>0.64700000000000002</v>
      </c>
      <c r="H13" s="6" t="s">
        <v>9</v>
      </c>
      <c r="I13" s="6" t="s">
        <v>10</v>
      </c>
      <c r="J13" s="7"/>
    </row>
    <row r="14" spans="1:10" s="10" customFormat="1" ht="13.8" customHeight="1" x14ac:dyDescent="0.25">
      <c r="A14" s="11" t="s">
        <v>5</v>
      </c>
      <c r="B14" s="11"/>
      <c r="C14" s="11"/>
      <c r="D14" s="11"/>
      <c r="E14" s="11"/>
      <c r="F14" s="11"/>
      <c r="G14" s="8">
        <f>ROUND(((SUM(G9:G13) + 5))*10,1)</f>
        <v>81.900000000000006</v>
      </c>
      <c r="H14" s="9"/>
      <c r="I14" s="9"/>
      <c r="J14" s="2"/>
    </row>
    <row r="15" spans="1:10" ht="13.8" customHeight="1" x14ac:dyDescent="0.25">
      <c r="A15" s="1" t="s">
        <v>26</v>
      </c>
      <c r="B15" s="1" t="s">
        <v>17</v>
      </c>
      <c r="C15" s="1" t="s">
        <v>16</v>
      </c>
      <c r="D15" s="1" t="s">
        <v>15</v>
      </c>
      <c r="E15" s="1" t="s">
        <v>14</v>
      </c>
      <c r="F15" s="1" t="s">
        <v>13</v>
      </c>
      <c r="G15" s="1" t="s">
        <v>0</v>
      </c>
      <c r="H15" s="1" t="s">
        <v>12</v>
      </c>
      <c r="I15" s="1" t="s">
        <v>11</v>
      </c>
      <c r="J15" s="2"/>
    </row>
    <row r="16" spans="1:10" ht="13.8" customHeight="1" x14ac:dyDescent="0.25">
      <c r="A16" s="4" t="s">
        <v>18</v>
      </c>
      <c r="B16" s="5" t="s">
        <v>23</v>
      </c>
      <c r="C16" s="6">
        <v>0</v>
      </c>
      <c r="D16" s="6">
        <v>0</v>
      </c>
      <c r="E16" s="6">
        <v>0</v>
      </c>
      <c r="F16" s="6">
        <v>0</v>
      </c>
      <c r="G16" s="4">
        <v>-1</v>
      </c>
      <c r="H16" s="6" t="s">
        <v>6</v>
      </c>
      <c r="I16" s="6" t="s">
        <v>4</v>
      </c>
      <c r="J16" s="2"/>
    </row>
    <row r="17" spans="1:10" ht="13.8" customHeight="1" x14ac:dyDescent="0.25">
      <c r="A17" s="4" t="s">
        <v>19</v>
      </c>
      <c r="B17" s="6">
        <v>0.81630000000000003</v>
      </c>
      <c r="C17" s="6">
        <v>0.82689999999999997</v>
      </c>
      <c r="D17" s="6">
        <v>0.79310000000000003</v>
      </c>
      <c r="E17" s="6">
        <v>0.76919999999999999</v>
      </c>
      <c r="F17" s="6">
        <v>0.86960000000000004</v>
      </c>
      <c r="G17" s="4">
        <v>0.65800000000000003</v>
      </c>
      <c r="H17" s="6" t="s">
        <v>6</v>
      </c>
      <c r="I17" s="6" t="s">
        <v>4</v>
      </c>
      <c r="J17" s="2"/>
    </row>
    <row r="18" spans="1:10" ht="13.8" customHeight="1" x14ac:dyDescent="0.25">
      <c r="A18" s="4" t="s">
        <v>20</v>
      </c>
      <c r="B18" s="6">
        <v>0.83330000000000004</v>
      </c>
      <c r="C18" s="6">
        <v>0.84619999999999995</v>
      </c>
      <c r="D18" s="6">
        <v>0.8</v>
      </c>
      <c r="E18" s="6">
        <v>0.76919999999999999</v>
      </c>
      <c r="F18" s="6">
        <v>0.90910000000000002</v>
      </c>
      <c r="G18" s="4">
        <v>0.70099999999999996</v>
      </c>
      <c r="H18" s="6" t="s">
        <v>7</v>
      </c>
      <c r="I18" s="6" t="s">
        <v>8</v>
      </c>
      <c r="J18" s="2"/>
    </row>
    <row r="19" spans="1:10" ht="13.8" customHeight="1" x14ac:dyDescent="0.25">
      <c r="A19" s="4" t="s">
        <v>22</v>
      </c>
      <c r="B19" s="6">
        <v>0.77270000000000005</v>
      </c>
      <c r="C19" s="6">
        <v>0.80769999999999997</v>
      </c>
      <c r="D19" s="6">
        <v>0.73529999999999995</v>
      </c>
      <c r="E19" s="6">
        <v>0.65380000000000005</v>
      </c>
      <c r="F19" s="6">
        <v>0.94440000000000002</v>
      </c>
      <c r="G19" s="4">
        <v>0.64700000000000002</v>
      </c>
      <c r="H19" s="6" t="s">
        <v>7</v>
      </c>
      <c r="I19" s="6" t="s">
        <v>8</v>
      </c>
      <c r="J19" s="7"/>
    </row>
    <row r="20" spans="1:10" ht="13.8" customHeight="1" x14ac:dyDescent="0.25">
      <c r="A20" s="4" t="s">
        <v>21</v>
      </c>
      <c r="B20" s="6">
        <v>0.83330000000000004</v>
      </c>
      <c r="C20" s="6">
        <v>0.84619999999999995</v>
      </c>
      <c r="D20" s="6">
        <v>0.8</v>
      </c>
      <c r="E20" s="6">
        <v>0.76919999999999999</v>
      </c>
      <c r="F20" s="6">
        <v>0.90910000000000002</v>
      </c>
      <c r="G20" s="4">
        <v>0.70099999999999996</v>
      </c>
      <c r="H20" s="6" t="s">
        <v>6</v>
      </c>
      <c r="I20" s="6" t="s">
        <v>4</v>
      </c>
      <c r="J20" s="2"/>
    </row>
    <row r="21" spans="1:10" s="10" customFormat="1" ht="13.8" customHeight="1" x14ac:dyDescent="0.25">
      <c r="A21" s="11" t="s">
        <v>5</v>
      </c>
      <c r="B21" s="11"/>
      <c r="C21" s="11"/>
      <c r="D21" s="11"/>
      <c r="E21" s="11"/>
      <c r="F21" s="11"/>
      <c r="G21" s="8">
        <f>ROUND(((SUM(G16:G20) + 5))*10,1)</f>
        <v>67.099999999999994</v>
      </c>
      <c r="H21" s="9"/>
      <c r="I21" s="9"/>
      <c r="J21" s="2"/>
    </row>
    <row r="22" spans="1:10" ht="13.8" customHeight="1" x14ac:dyDescent="0.25">
      <c r="A22" s="1" t="s">
        <v>27</v>
      </c>
      <c r="B22" s="1" t="s">
        <v>17</v>
      </c>
      <c r="C22" s="1" t="s">
        <v>16</v>
      </c>
      <c r="D22" s="1" t="s">
        <v>15</v>
      </c>
      <c r="E22" s="1" t="s">
        <v>14</v>
      </c>
      <c r="F22" s="1" t="s">
        <v>13</v>
      </c>
      <c r="G22" s="1" t="s">
        <v>0</v>
      </c>
      <c r="H22" s="1" t="s">
        <v>12</v>
      </c>
      <c r="I22" s="1" t="s">
        <v>11</v>
      </c>
      <c r="J22" s="2"/>
    </row>
    <row r="23" spans="1:10" ht="13.8" customHeight="1" x14ac:dyDescent="0.25">
      <c r="A23" s="4" t="s">
        <v>18</v>
      </c>
      <c r="B23" s="6">
        <v>0.7429</v>
      </c>
      <c r="C23" s="6">
        <v>0.65380000000000005</v>
      </c>
      <c r="D23" s="6">
        <v>1</v>
      </c>
      <c r="E23" s="6">
        <v>1</v>
      </c>
      <c r="F23" s="6">
        <v>0.59089999999999998</v>
      </c>
      <c r="G23" s="4">
        <v>0.42599999999999999</v>
      </c>
      <c r="H23" s="6" t="s">
        <v>9</v>
      </c>
      <c r="I23" s="6" t="s">
        <v>10</v>
      </c>
      <c r="J23" s="2"/>
    </row>
    <row r="24" spans="1:10" ht="13.8" customHeight="1" x14ac:dyDescent="0.25">
      <c r="A24" s="4" t="s">
        <v>19</v>
      </c>
      <c r="B24" s="6">
        <v>0.85189999999999999</v>
      </c>
      <c r="C24" s="6">
        <v>0.84619999999999995</v>
      </c>
      <c r="D24" s="6">
        <v>0.875</v>
      </c>
      <c r="E24" s="6">
        <v>0.88460000000000005</v>
      </c>
      <c r="F24" s="6">
        <v>0.82189999999999996</v>
      </c>
      <c r="G24" s="4">
        <v>0.69399999999999995</v>
      </c>
      <c r="H24" s="6" t="s">
        <v>9</v>
      </c>
      <c r="I24" s="6" t="s">
        <v>10</v>
      </c>
      <c r="J24" s="2"/>
    </row>
    <row r="25" spans="1:10" ht="13.8" customHeight="1" x14ac:dyDescent="0.25">
      <c r="A25" s="4" t="s">
        <v>20</v>
      </c>
      <c r="B25" s="6">
        <v>0.84</v>
      </c>
      <c r="C25" s="6">
        <v>0.84619999999999995</v>
      </c>
      <c r="D25" s="6">
        <v>0.82140000000000002</v>
      </c>
      <c r="E25" s="6">
        <v>0.80769999999999997</v>
      </c>
      <c r="F25" s="6">
        <v>0.875</v>
      </c>
      <c r="G25" s="4">
        <v>0.69399999999999995</v>
      </c>
      <c r="H25" s="6" t="s">
        <v>9</v>
      </c>
      <c r="I25" s="6" t="s">
        <v>10</v>
      </c>
      <c r="J25" s="2"/>
    </row>
    <row r="26" spans="1:10" ht="13.8" customHeight="1" x14ac:dyDescent="0.25">
      <c r="A26" s="4" t="s">
        <v>22</v>
      </c>
      <c r="B26" s="6">
        <v>0.82350000000000001</v>
      </c>
      <c r="C26" s="6">
        <v>0.82689999999999997</v>
      </c>
      <c r="D26" s="6">
        <v>0.81479999999999997</v>
      </c>
      <c r="E26" s="6">
        <v>0.80769999999999997</v>
      </c>
      <c r="F26" s="6">
        <v>0.84</v>
      </c>
      <c r="G26" s="4">
        <v>0.65400000000000003</v>
      </c>
      <c r="H26" s="6" t="s">
        <v>9</v>
      </c>
      <c r="I26" s="6" t="s">
        <v>10</v>
      </c>
      <c r="J26" s="7"/>
    </row>
    <row r="27" spans="1:10" ht="13.8" customHeight="1" x14ac:dyDescent="0.25">
      <c r="A27" s="4" t="s">
        <v>21</v>
      </c>
      <c r="B27" s="6">
        <v>0.89800000000000002</v>
      </c>
      <c r="C27" s="6">
        <v>0.90380000000000005</v>
      </c>
      <c r="D27" s="6">
        <v>0.86209999999999998</v>
      </c>
      <c r="E27" s="6">
        <v>0.84619999999999995</v>
      </c>
      <c r="F27" s="6">
        <v>0.95650000000000002</v>
      </c>
      <c r="G27" s="4">
        <v>0.81299999999999994</v>
      </c>
      <c r="H27" s="6" t="s">
        <v>6</v>
      </c>
      <c r="I27" s="6" t="s">
        <v>4</v>
      </c>
      <c r="J27" s="2"/>
    </row>
    <row r="28" spans="1:10" s="10" customFormat="1" ht="13.8" customHeight="1" x14ac:dyDescent="0.25">
      <c r="A28" s="11" t="s">
        <v>5</v>
      </c>
      <c r="B28" s="11"/>
      <c r="C28" s="11"/>
      <c r="D28" s="11"/>
      <c r="E28" s="11"/>
      <c r="F28" s="11"/>
      <c r="G28" s="8">
        <f>ROUND(((SUM(G23:G27) + 5))*10,1)</f>
        <v>82.8</v>
      </c>
      <c r="H28" s="9"/>
      <c r="I28" s="9"/>
      <c r="J28" s="2"/>
    </row>
  </sheetData>
  <mergeCells count="4">
    <mergeCell ref="A7:F7"/>
    <mergeCell ref="A14:F14"/>
    <mergeCell ref="A21:F21"/>
    <mergeCell ref="A28:F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78F6-C91F-4C46-9508-FA163DBC69C3}">
  <dimension ref="A1:J28"/>
  <sheetViews>
    <sheetView workbookViewId="0"/>
  </sheetViews>
  <sheetFormatPr defaultRowHeight="13.8" customHeight="1" x14ac:dyDescent="0.25"/>
  <cols>
    <col min="1" max="1" width="33.33203125" style="3" customWidth="1"/>
    <col min="2" max="7" width="14.44140625" style="3" customWidth="1"/>
    <col min="8" max="9" width="41.6640625" style="3" customWidth="1"/>
    <col min="10" max="10" width="0.5546875" style="3" customWidth="1"/>
    <col min="11" max="16384" width="8.88671875" style="3"/>
  </cols>
  <sheetData>
    <row r="1" spans="1:10" ht="13.8" customHeight="1" x14ac:dyDescent="0.25">
      <c r="A1" s="1" t="s">
        <v>24</v>
      </c>
      <c r="B1" s="1" t="s">
        <v>17</v>
      </c>
      <c r="C1" s="1" t="s">
        <v>16</v>
      </c>
      <c r="D1" s="1" t="s">
        <v>15</v>
      </c>
      <c r="E1" s="1" t="s">
        <v>14</v>
      </c>
      <c r="F1" s="1" t="s">
        <v>13</v>
      </c>
      <c r="G1" s="1" t="s">
        <v>0</v>
      </c>
      <c r="H1" s="1" t="s">
        <v>12</v>
      </c>
      <c r="I1" s="1" t="s">
        <v>11</v>
      </c>
      <c r="J1" s="2"/>
    </row>
    <row r="2" spans="1:10" ht="13.8" customHeight="1" x14ac:dyDescent="0.25">
      <c r="A2" s="4" t="s">
        <v>18</v>
      </c>
      <c r="B2" s="5" t="s">
        <v>23</v>
      </c>
      <c r="C2" s="6">
        <v>0</v>
      </c>
      <c r="D2" s="6">
        <v>0</v>
      </c>
      <c r="E2" s="6">
        <v>0</v>
      </c>
      <c r="F2" s="6">
        <v>0</v>
      </c>
      <c r="G2" s="4">
        <v>-1</v>
      </c>
      <c r="H2" s="6" t="s">
        <v>6</v>
      </c>
      <c r="I2" s="6" t="s">
        <v>4</v>
      </c>
      <c r="J2" s="2"/>
    </row>
    <row r="3" spans="1:10" ht="13.8" customHeight="1" x14ac:dyDescent="0.25">
      <c r="A3" s="4" t="s">
        <v>19</v>
      </c>
      <c r="B3" s="5" t="s">
        <v>23</v>
      </c>
      <c r="C3" s="6">
        <v>0</v>
      </c>
      <c r="D3" s="6">
        <v>0</v>
      </c>
      <c r="E3" s="6">
        <v>0</v>
      </c>
      <c r="F3" s="6">
        <v>0</v>
      </c>
      <c r="G3" s="4">
        <v>-1</v>
      </c>
      <c r="H3" s="6" t="s">
        <v>6</v>
      </c>
      <c r="I3" s="6" t="s">
        <v>4</v>
      </c>
      <c r="J3" s="2"/>
    </row>
    <row r="4" spans="1:10" ht="13.8" customHeight="1" x14ac:dyDescent="0.25">
      <c r="A4" s="4" t="s">
        <v>20</v>
      </c>
      <c r="B4" s="5" t="s">
        <v>23</v>
      </c>
      <c r="C4" s="6">
        <v>0</v>
      </c>
      <c r="D4" s="6">
        <v>0</v>
      </c>
      <c r="E4" s="6">
        <v>0</v>
      </c>
      <c r="F4" s="6">
        <v>0</v>
      </c>
      <c r="G4" s="4">
        <v>-1</v>
      </c>
      <c r="H4" s="6" t="s">
        <v>6</v>
      </c>
      <c r="I4" s="6" t="s">
        <v>4</v>
      </c>
      <c r="J4" s="2"/>
    </row>
    <row r="5" spans="1:10" ht="13.8" customHeight="1" x14ac:dyDescent="0.25">
      <c r="A5" s="4" t="s">
        <v>22</v>
      </c>
      <c r="B5" s="6">
        <v>0.75560000000000005</v>
      </c>
      <c r="C5" s="6">
        <v>0.78849999999999998</v>
      </c>
      <c r="D5" s="6">
        <v>0.72729999999999995</v>
      </c>
      <c r="E5" s="6">
        <v>0.65380000000000005</v>
      </c>
      <c r="F5" s="6">
        <v>0.89470000000000005</v>
      </c>
      <c r="G5" s="4">
        <v>0.59899999999999998</v>
      </c>
      <c r="H5" s="6" t="s">
        <v>1</v>
      </c>
      <c r="I5" s="6" t="s">
        <v>2</v>
      </c>
      <c r="J5" s="7"/>
    </row>
    <row r="6" spans="1:10" ht="13.8" customHeight="1" x14ac:dyDescent="0.25">
      <c r="A6" s="4" t="s">
        <v>21</v>
      </c>
      <c r="B6" s="6">
        <v>0.8</v>
      </c>
      <c r="C6" s="6">
        <v>0.82689999999999997</v>
      </c>
      <c r="D6" s="6">
        <v>0.75760000000000005</v>
      </c>
      <c r="E6" s="6">
        <v>0.69230000000000003</v>
      </c>
      <c r="F6" s="6">
        <v>0.94740000000000002</v>
      </c>
      <c r="G6" s="4">
        <v>0.67900000000000005</v>
      </c>
      <c r="H6" s="6" t="s">
        <v>1</v>
      </c>
      <c r="I6" s="6" t="s">
        <v>2</v>
      </c>
      <c r="J6" s="2"/>
    </row>
    <row r="7" spans="1:10" s="10" customFormat="1" ht="13.8" customHeight="1" x14ac:dyDescent="0.25">
      <c r="A7" s="11" t="s">
        <v>5</v>
      </c>
      <c r="B7" s="11"/>
      <c r="C7" s="11"/>
      <c r="D7" s="11"/>
      <c r="E7" s="11"/>
      <c r="F7" s="11"/>
      <c r="G7" s="8">
        <f>ROUND(((SUM(G2:G6) + 5))*10,1)</f>
        <v>32.799999999999997</v>
      </c>
      <c r="H7" s="9"/>
      <c r="I7" s="9"/>
      <c r="J7" s="2"/>
    </row>
    <row r="8" spans="1:10" ht="13.8" customHeight="1" x14ac:dyDescent="0.25">
      <c r="A8" s="1" t="s">
        <v>25</v>
      </c>
      <c r="B8" s="1" t="s">
        <v>17</v>
      </c>
      <c r="C8" s="1" t="s">
        <v>16</v>
      </c>
      <c r="D8" s="1" t="s">
        <v>15</v>
      </c>
      <c r="E8" s="1" t="s">
        <v>14</v>
      </c>
      <c r="F8" s="1" t="s">
        <v>13</v>
      </c>
      <c r="G8" s="1" t="s">
        <v>0</v>
      </c>
      <c r="H8" s="1" t="s">
        <v>12</v>
      </c>
      <c r="I8" s="1" t="s">
        <v>11</v>
      </c>
      <c r="J8" s="2"/>
    </row>
    <row r="9" spans="1:10" ht="13.8" customHeight="1" x14ac:dyDescent="0.25">
      <c r="A9" s="4" t="s">
        <v>18</v>
      </c>
      <c r="B9" s="5" t="s">
        <v>23</v>
      </c>
      <c r="C9" s="6">
        <v>0</v>
      </c>
      <c r="D9" s="6">
        <v>0</v>
      </c>
      <c r="E9" s="6">
        <v>0</v>
      </c>
      <c r="F9" s="6">
        <v>0</v>
      </c>
      <c r="G9" s="4">
        <v>-1</v>
      </c>
      <c r="H9" s="6" t="s">
        <v>6</v>
      </c>
      <c r="I9" s="6" t="s">
        <v>4</v>
      </c>
      <c r="J9" s="7"/>
    </row>
    <row r="10" spans="1:10" ht="13.8" customHeight="1" x14ac:dyDescent="0.25">
      <c r="A10" s="4" t="s">
        <v>19</v>
      </c>
      <c r="B10" s="5" t="s">
        <v>23</v>
      </c>
      <c r="C10" s="6">
        <v>0</v>
      </c>
      <c r="D10" s="6">
        <v>0</v>
      </c>
      <c r="E10" s="6">
        <v>0</v>
      </c>
      <c r="F10" s="6">
        <v>0</v>
      </c>
      <c r="G10" s="4">
        <v>-1</v>
      </c>
      <c r="H10" s="6" t="s">
        <v>6</v>
      </c>
      <c r="I10" s="6" t="s">
        <v>4</v>
      </c>
      <c r="J10" s="7"/>
    </row>
    <row r="11" spans="1:10" ht="13.8" customHeight="1" x14ac:dyDescent="0.25">
      <c r="A11" s="4" t="s">
        <v>20</v>
      </c>
      <c r="B11" s="5" t="s">
        <v>23</v>
      </c>
      <c r="C11" s="6">
        <v>0</v>
      </c>
      <c r="D11" s="6">
        <v>0</v>
      </c>
      <c r="E11" s="6">
        <v>0</v>
      </c>
      <c r="F11" s="6">
        <v>0</v>
      </c>
      <c r="G11" s="4">
        <v>-1</v>
      </c>
      <c r="H11" s="6" t="s">
        <v>6</v>
      </c>
      <c r="I11" s="6" t="s">
        <v>4</v>
      </c>
      <c r="J11" s="7"/>
    </row>
    <row r="12" spans="1:10" ht="13.8" customHeight="1" x14ac:dyDescent="0.25">
      <c r="A12" s="4" t="s">
        <v>22</v>
      </c>
      <c r="B12" s="6">
        <v>0.73170000000000002</v>
      </c>
      <c r="C12" s="6">
        <v>0.78649999999999998</v>
      </c>
      <c r="D12" s="6">
        <v>0.70269999999999999</v>
      </c>
      <c r="E12" s="6">
        <v>0.57689999999999997</v>
      </c>
      <c r="F12" s="6">
        <v>1</v>
      </c>
      <c r="G12" s="4">
        <v>0.63700000000000001</v>
      </c>
      <c r="H12" s="6" t="s">
        <v>1</v>
      </c>
      <c r="I12" s="6" t="s">
        <v>2</v>
      </c>
      <c r="J12" s="7"/>
    </row>
    <row r="13" spans="1:10" ht="13.8" customHeight="1" x14ac:dyDescent="0.25">
      <c r="A13" s="4" t="s">
        <v>21</v>
      </c>
      <c r="B13" s="6">
        <v>0.71430000000000005</v>
      </c>
      <c r="C13" s="6">
        <v>0.76919999999999999</v>
      </c>
      <c r="D13" s="6">
        <v>0.69440000000000002</v>
      </c>
      <c r="E13" s="6">
        <v>0.57689999999999997</v>
      </c>
      <c r="F13" s="6">
        <v>0.9375</v>
      </c>
      <c r="G13" s="4">
        <v>0.58299999999999996</v>
      </c>
      <c r="H13" s="6" t="s">
        <v>1</v>
      </c>
      <c r="I13" s="6" t="s">
        <v>2</v>
      </c>
      <c r="J13" s="7"/>
    </row>
    <row r="14" spans="1:10" s="10" customFormat="1" ht="13.8" customHeight="1" x14ac:dyDescent="0.25">
      <c r="A14" s="11" t="s">
        <v>5</v>
      </c>
      <c r="B14" s="11"/>
      <c r="C14" s="11"/>
      <c r="D14" s="11"/>
      <c r="E14" s="11"/>
      <c r="F14" s="11"/>
      <c r="G14" s="8">
        <f>ROUND(((SUM(G9:G13) + 5))*10,1)</f>
        <v>32.200000000000003</v>
      </c>
      <c r="H14" s="9"/>
      <c r="I14" s="9"/>
      <c r="J14" s="2"/>
    </row>
    <row r="15" spans="1:10" ht="13.8" customHeight="1" x14ac:dyDescent="0.25">
      <c r="A15" s="1" t="s">
        <v>26</v>
      </c>
      <c r="B15" s="1" t="s">
        <v>17</v>
      </c>
      <c r="C15" s="1" t="s">
        <v>16</v>
      </c>
      <c r="D15" s="1" t="s">
        <v>15</v>
      </c>
      <c r="E15" s="1" t="s">
        <v>14</v>
      </c>
      <c r="F15" s="1" t="s">
        <v>13</v>
      </c>
      <c r="G15" s="1" t="s">
        <v>0</v>
      </c>
      <c r="H15" s="1" t="s">
        <v>12</v>
      </c>
      <c r="I15" s="1" t="s">
        <v>11</v>
      </c>
      <c r="J15" s="2"/>
    </row>
    <row r="16" spans="1:10" ht="13.8" customHeight="1" x14ac:dyDescent="0.25">
      <c r="A16" s="4" t="s">
        <v>18</v>
      </c>
      <c r="B16" s="5" t="s">
        <v>23</v>
      </c>
      <c r="C16" s="6">
        <v>0</v>
      </c>
      <c r="D16" s="6">
        <v>0</v>
      </c>
      <c r="E16" s="6">
        <v>0</v>
      </c>
      <c r="F16" s="6">
        <v>0</v>
      </c>
      <c r="G16" s="4">
        <v>-1</v>
      </c>
      <c r="H16" s="6" t="s">
        <v>6</v>
      </c>
      <c r="I16" s="6" t="s">
        <v>4</v>
      </c>
      <c r="J16" s="2"/>
    </row>
    <row r="17" spans="1:10" ht="13.8" customHeight="1" x14ac:dyDescent="0.25">
      <c r="A17" s="4" t="s">
        <v>19</v>
      </c>
      <c r="B17" s="5" t="s">
        <v>23</v>
      </c>
      <c r="C17" s="6">
        <v>0</v>
      </c>
      <c r="D17" s="6">
        <v>0</v>
      </c>
      <c r="E17" s="6">
        <v>0</v>
      </c>
      <c r="F17" s="6">
        <v>0</v>
      </c>
      <c r="G17" s="4">
        <v>-1</v>
      </c>
      <c r="H17" s="6" t="s">
        <v>6</v>
      </c>
      <c r="I17" s="6" t="s">
        <v>4</v>
      </c>
      <c r="J17" s="2"/>
    </row>
    <row r="18" spans="1:10" ht="13.8" customHeight="1" x14ac:dyDescent="0.25">
      <c r="A18" s="4" t="s">
        <v>20</v>
      </c>
      <c r="B18" s="5" t="s">
        <v>23</v>
      </c>
      <c r="C18" s="6">
        <v>0</v>
      </c>
      <c r="D18" s="6">
        <v>0</v>
      </c>
      <c r="E18" s="6">
        <v>0</v>
      </c>
      <c r="F18" s="6">
        <v>0</v>
      </c>
      <c r="G18" s="4">
        <v>-1</v>
      </c>
      <c r="H18" s="6" t="s">
        <v>6</v>
      </c>
      <c r="I18" s="6" t="s">
        <v>4</v>
      </c>
      <c r="J18" s="2"/>
    </row>
    <row r="19" spans="1:10" ht="13.8" customHeight="1" x14ac:dyDescent="0.25">
      <c r="A19" s="4" t="s">
        <v>22</v>
      </c>
      <c r="B19" s="6">
        <v>0.78259999999999996</v>
      </c>
      <c r="C19" s="6">
        <v>0.80769999999999997</v>
      </c>
      <c r="D19" s="6">
        <v>0.75</v>
      </c>
      <c r="E19" s="6">
        <v>0.69230000000000003</v>
      </c>
      <c r="F19" s="6">
        <v>0.9</v>
      </c>
      <c r="G19" s="4">
        <v>0.63200000000000001</v>
      </c>
      <c r="H19" s="6" t="s">
        <v>3</v>
      </c>
      <c r="I19" s="6" t="s">
        <v>4</v>
      </c>
      <c r="J19" s="7"/>
    </row>
    <row r="20" spans="1:10" ht="13.8" customHeight="1" x14ac:dyDescent="0.25">
      <c r="A20" s="4" t="s">
        <v>21</v>
      </c>
      <c r="B20" s="6">
        <v>0.78259999999999996</v>
      </c>
      <c r="C20" s="6">
        <v>0.80769999999999997</v>
      </c>
      <c r="D20" s="6">
        <v>0.75</v>
      </c>
      <c r="E20" s="6">
        <v>0.69230000000000003</v>
      </c>
      <c r="F20" s="6">
        <v>0.9</v>
      </c>
      <c r="G20" s="4">
        <v>0.63200000000000001</v>
      </c>
      <c r="H20" s="6" t="s">
        <v>3</v>
      </c>
      <c r="I20" s="6" t="s">
        <v>4</v>
      </c>
      <c r="J20" s="2"/>
    </row>
    <row r="21" spans="1:10" s="10" customFormat="1" ht="13.8" customHeight="1" x14ac:dyDescent="0.25">
      <c r="A21" s="11" t="s">
        <v>5</v>
      </c>
      <c r="B21" s="11"/>
      <c r="C21" s="11"/>
      <c r="D21" s="11"/>
      <c r="E21" s="11"/>
      <c r="F21" s="11"/>
      <c r="G21" s="8">
        <f>ROUND(((SUM(G16:G20) + 5))*10,1)</f>
        <v>32.6</v>
      </c>
      <c r="H21" s="9"/>
      <c r="I21" s="9"/>
      <c r="J21" s="2"/>
    </row>
    <row r="22" spans="1:10" ht="13.8" customHeight="1" x14ac:dyDescent="0.25">
      <c r="A22" s="1" t="s">
        <v>27</v>
      </c>
      <c r="B22" s="1" t="s">
        <v>17</v>
      </c>
      <c r="C22" s="1" t="s">
        <v>16</v>
      </c>
      <c r="D22" s="1" t="s">
        <v>15</v>
      </c>
      <c r="E22" s="1" t="s">
        <v>14</v>
      </c>
      <c r="F22" s="1" t="s">
        <v>13</v>
      </c>
      <c r="G22" s="1" t="s">
        <v>0</v>
      </c>
      <c r="H22" s="1" t="s">
        <v>12</v>
      </c>
      <c r="I22" s="1" t="s">
        <v>11</v>
      </c>
      <c r="J22" s="2"/>
    </row>
    <row r="23" spans="1:10" ht="13.8" customHeight="1" x14ac:dyDescent="0.25">
      <c r="A23" s="4" t="s">
        <v>18</v>
      </c>
      <c r="B23" s="5" t="s">
        <v>23</v>
      </c>
      <c r="C23" s="6">
        <v>0</v>
      </c>
      <c r="D23" s="6">
        <v>0</v>
      </c>
      <c r="E23" s="6">
        <v>0</v>
      </c>
      <c r="F23" s="6">
        <v>0</v>
      </c>
      <c r="G23" s="4">
        <v>-1</v>
      </c>
      <c r="H23" s="6" t="s">
        <v>6</v>
      </c>
      <c r="I23" s="6" t="s">
        <v>4</v>
      </c>
      <c r="J23" s="2"/>
    </row>
    <row r="24" spans="1:10" ht="13.8" customHeight="1" x14ac:dyDescent="0.25">
      <c r="A24" s="4" t="s">
        <v>19</v>
      </c>
      <c r="B24" s="5" t="s">
        <v>23</v>
      </c>
      <c r="C24" s="6">
        <v>0</v>
      </c>
      <c r="D24" s="6">
        <v>0</v>
      </c>
      <c r="E24" s="6">
        <v>0</v>
      </c>
      <c r="F24" s="6">
        <v>0</v>
      </c>
      <c r="G24" s="4">
        <v>-1</v>
      </c>
      <c r="H24" s="6" t="s">
        <v>6</v>
      </c>
      <c r="I24" s="6" t="s">
        <v>4</v>
      </c>
      <c r="J24" s="2"/>
    </row>
    <row r="25" spans="1:10" ht="13.8" customHeight="1" x14ac:dyDescent="0.25">
      <c r="A25" s="4" t="s">
        <v>20</v>
      </c>
      <c r="B25" s="5" t="s">
        <v>23</v>
      </c>
      <c r="C25" s="6">
        <v>0</v>
      </c>
      <c r="D25" s="6">
        <v>0</v>
      </c>
      <c r="E25" s="6">
        <v>0</v>
      </c>
      <c r="F25" s="6">
        <v>0</v>
      </c>
      <c r="G25" s="4">
        <v>-1</v>
      </c>
      <c r="H25" s="6" t="s">
        <v>6</v>
      </c>
      <c r="I25" s="6" t="s">
        <v>4</v>
      </c>
      <c r="J25" s="2"/>
    </row>
    <row r="26" spans="1:10" ht="13.8" customHeight="1" x14ac:dyDescent="0.25">
      <c r="A26" s="4" t="s">
        <v>22</v>
      </c>
      <c r="B26" s="6">
        <v>0.77270000000000005</v>
      </c>
      <c r="C26" s="6">
        <v>0.80769999999999997</v>
      </c>
      <c r="D26" s="6">
        <v>0.73529999999999995</v>
      </c>
      <c r="E26" s="6">
        <v>0.65380000000000005</v>
      </c>
      <c r="F26" s="6">
        <v>0.94440000000000002</v>
      </c>
      <c r="G26" s="4">
        <v>0.64700000000000002</v>
      </c>
      <c r="H26" s="6" t="s">
        <v>3</v>
      </c>
      <c r="I26" s="6" t="s">
        <v>4</v>
      </c>
      <c r="J26" s="7"/>
    </row>
    <row r="27" spans="1:10" ht="13.8" customHeight="1" x14ac:dyDescent="0.25">
      <c r="A27" s="4" t="s">
        <v>21</v>
      </c>
      <c r="B27" s="6">
        <v>0.8</v>
      </c>
      <c r="C27" s="6">
        <v>0.82689999999999997</v>
      </c>
      <c r="D27" s="6">
        <v>0.75760000000000005</v>
      </c>
      <c r="E27" s="6">
        <v>0.69230000000000003</v>
      </c>
      <c r="F27" s="6">
        <v>0.94740000000000002</v>
      </c>
      <c r="G27" s="4">
        <v>0.67900000000000005</v>
      </c>
      <c r="H27" s="6" t="s">
        <v>3</v>
      </c>
      <c r="I27" s="6" t="s">
        <v>4</v>
      </c>
      <c r="J27" s="2"/>
    </row>
    <row r="28" spans="1:10" s="10" customFormat="1" ht="13.8" customHeight="1" x14ac:dyDescent="0.25">
      <c r="A28" s="11" t="s">
        <v>5</v>
      </c>
      <c r="B28" s="11"/>
      <c r="C28" s="11"/>
      <c r="D28" s="11"/>
      <c r="E28" s="11"/>
      <c r="F28" s="11"/>
      <c r="G28" s="8">
        <f>ROUND(((SUM(G23:G27) + 5))*10,1)</f>
        <v>33.299999999999997</v>
      </c>
      <c r="H28" s="9"/>
      <c r="I28" s="9"/>
      <c r="J28" s="2"/>
    </row>
  </sheetData>
  <mergeCells count="4">
    <mergeCell ref="A7:F7"/>
    <mergeCell ref="A14:F14"/>
    <mergeCell ref="A21:F21"/>
    <mergeCell ref="A28:F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Raw Data</vt:lpstr>
      <vt:lpstr>Second Derivative</vt:lpstr>
      <vt:lpstr>Vector Normalization</vt:lpstr>
      <vt:lpstr>Area Normalization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Emir Yarkın Yaman</dc:creator>
  <cp:lastModifiedBy>Emir Yarkın Yaman</cp:lastModifiedBy>
  <dcterms:created xsi:type="dcterms:W3CDTF">2015-06-05T18:17:20Z</dcterms:created>
  <dcterms:modified xsi:type="dcterms:W3CDTF">2026-02-19T13:57:53Z</dcterms:modified>
</cp:coreProperties>
</file>