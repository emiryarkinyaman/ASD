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esktop\TYPO\ASD\Results\"/>
    </mc:Choice>
  </mc:AlternateContent>
  <xr:revisionPtr revIDLastSave="0" documentId="13_ncr:1_{2BEE1819-132C-4F15-A627-651CD144860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ll Interval" sheetId="1" r:id="rId1"/>
    <sheet name="Fingerprint Region" sheetId="2" r:id="rId2"/>
    <sheet name="High-frequency Region" sheetId="3" r:id="rId3"/>
    <sheet name="Double Interv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" i="4" l="1"/>
  <c r="O31" i="4"/>
  <c r="N31" i="4"/>
  <c r="M31" i="4"/>
  <c r="M32" i="4" s="1"/>
  <c r="L31" i="4"/>
  <c r="L32" i="4" s="1"/>
  <c r="K31" i="4"/>
  <c r="K34" i="4" s="1"/>
  <c r="P30" i="4"/>
  <c r="O30" i="4"/>
  <c r="N30" i="4"/>
  <c r="M30" i="4"/>
  <c r="L30" i="4"/>
  <c r="K30" i="4"/>
  <c r="K32" i="3"/>
  <c r="K37" i="3" s="1"/>
  <c r="P31" i="3"/>
  <c r="P32" i="3" s="1"/>
  <c r="O31" i="3"/>
  <c r="O32" i="3" s="1"/>
  <c r="N31" i="3"/>
  <c r="N34" i="3" s="1"/>
  <c r="M31" i="3"/>
  <c r="M34" i="3" s="1"/>
  <c r="L31" i="3"/>
  <c r="L32" i="3" s="1"/>
  <c r="K31" i="3"/>
  <c r="K34" i="3" s="1"/>
  <c r="P30" i="3"/>
  <c r="O30" i="3"/>
  <c r="N30" i="3"/>
  <c r="M30" i="3"/>
  <c r="L30" i="3"/>
  <c r="K30" i="3"/>
  <c r="P31" i="2"/>
  <c r="O31" i="2"/>
  <c r="O32" i="2" s="1"/>
  <c r="N31" i="2"/>
  <c r="M31" i="2"/>
  <c r="L31" i="2"/>
  <c r="K31" i="2"/>
  <c r="P30" i="2"/>
  <c r="O30" i="2"/>
  <c r="N30" i="2"/>
  <c r="M30" i="2"/>
  <c r="L30" i="2"/>
  <c r="L33" i="2" s="1"/>
  <c r="K30" i="2"/>
  <c r="K33" i="2" s="1"/>
  <c r="P31" i="1"/>
  <c r="P32" i="1" s="1"/>
  <c r="O31" i="1"/>
  <c r="O32" i="1" s="1"/>
  <c r="N31" i="1"/>
  <c r="M31" i="1"/>
  <c r="M32" i="1" s="1"/>
  <c r="L31" i="1"/>
  <c r="K31" i="1"/>
  <c r="K32" i="1" s="1"/>
  <c r="P30" i="1"/>
  <c r="O30" i="1"/>
  <c r="N30" i="1"/>
  <c r="M30" i="1"/>
  <c r="L30" i="1"/>
  <c r="K30" i="1"/>
  <c r="L37" i="4" l="1"/>
  <c r="K32" i="4"/>
  <c r="K37" i="4"/>
  <c r="L34" i="4"/>
  <c r="L34" i="3"/>
  <c r="L37" i="3"/>
  <c r="K39" i="2"/>
  <c r="M34" i="2"/>
  <c r="L39" i="2"/>
  <c r="P34" i="2"/>
  <c r="N34" i="2"/>
  <c r="K34" i="2"/>
  <c r="K32" i="2"/>
  <c r="K35" i="2" s="1"/>
  <c r="L34" i="2"/>
  <c r="L32" i="2"/>
  <c r="K37" i="2"/>
  <c r="M37" i="4"/>
  <c r="N39" i="4"/>
  <c r="N34" i="4"/>
  <c r="N32" i="4"/>
  <c r="N36" i="4" s="1"/>
  <c r="P32" i="4"/>
  <c r="P34" i="4"/>
  <c r="K33" i="4"/>
  <c r="K35" i="4" s="1"/>
  <c r="K41" i="4"/>
  <c r="K38" i="4"/>
  <c r="K40" i="4" s="1"/>
  <c r="L33" i="4"/>
  <c r="L38" i="4" s="1"/>
  <c r="L40" i="4" s="1"/>
  <c r="N38" i="4"/>
  <c r="M33" i="4"/>
  <c r="M36" i="4" s="1"/>
  <c r="O38" i="4"/>
  <c r="O32" i="4"/>
  <c r="N33" i="4"/>
  <c r="N41" i="4" s="1"/>
  <c r="M34" i="4"/>
  <c r="O34" i="4"/>
  <c r="O33" i="4"/>
  <c r="P33" i="4"/>
  <c r="O37" i="3"/>
  <c r="L35" i="3"/>
  <c r="K36" i="3"/>
  <c r="L36" i="3"/>
  <c r="M32" i="3"/>
  <c r="P34" i="3"/>
  <c r="N32" i="3"/>
  <c r="P37" i="3"/>
  <c r="O34" i="3"/>
  <c r="L33" i="3"/>
  <c r="L41" i="3" s="1"/>
  <c r="O33" i="3"/>
  <c r="O39" i="3" s="1"/>
  <c r="K33" i="3"/>
  <c r="K41" i="3" s="1"/>
  <c r="M33" i="3"/>
  <c r="M39" i="3" s="1"/>
  <c r="N33" i="3"/>
  <c r="N38" i="3" s="1"/>
  <c r="P33" i="3"/>
  <c r="P35" i="3" s="1"/>
  <c r="O37" i="2"/>
  <c r="N39" i="2"/>
  <c r="M38" i="2"/>
  <c r="K41" i="2"/>
  <c r="O34" i="2"/>
  <c r="M32" i="2"/>
  <c r="N32" i="2"/>
  <c r="K38" i="2"/>
  <c r="P32" i="2"/>
  <c r="M33" i="2"/>
  <c r="K36" i="2"/>
  <c r="N33" i="2"/>
  <c r="N38" i="2" s="1"/>
  <c r="L36" i="2"/>
  <c r="M39" i="2"/>
  <c r="L38" i="2"/>
  <c r="O33" i="2"/>
  <c r="O41" i="2" s="1"/>
  <c r="P33" i="2"/>
  <c r="P38" i="2" s="1"/>
  <c r="K34" i="1"/>
  <c r="L34" i="1"/>
  <c r="K37" i="1"/>
  <c r="L32" i="1"/>
  <c r="L37" i="1" s="1"/>
  <c r="M37" i="1"/>
  <c r="P37" i="1"/>
  <c r="L39" i="1"/>
  <c r="O36" i="1"/>
  <c r="O37" i="1"/>
  <c r="P34" i="1"/>
  <c r="O34" i="1"/>
  <c r="M34" i="1"/>
  <c r="N34" i="1"/>
  <c r="M33" i="1"/>
  <c r="M35" i="1" s="1"/>
  <c r="N33" i="1"/>
  <c r="N39" i="1" s="1"/>
  <c r="N32" i="1"/>
  <c r="L33" i="1"/>
  <c r="O33" i="1"/>
  <c r="O41" i="1" s="1"/>
  <c r="K33" i="1"/>
  <c r="K35" i="1" s="1"/>
  <c r="P33" i="1"/>
  <c r="P41" i="1" s="1"/>
  <c r="O36" i="4" l="1"/>
  <c r="P41" i="4"/>
  <c r="L41" i="4"/>
  <c r="L36" i="4"/>
  <c r="K36" i="4"/>
  <c r="L35" i="4"/>
  <c r="M41" i="4"/>
  <c r="P39" i="4"/>
  <c r="K35" i="3"/>
  <c r="N36" i="3"/>
  <c r="M36" i="3"/>
  <c r="P41" i="3"/>
  <c r="P39" i="3"/>
  <c r="K39" i="3"/>
  <c r="K38" i="3"/>
  <c r="K40" i="3" s="1"/>
  <c r="N41" i="3"/>
  <c r="P39" i="2"/>
  <c r="P41" i="2"/>
  <c r="K40" i="2"/>
  <c r="L35" i="2"/>
  <c r="L37" i="2"/>
  <c r="L40" i="2" s="1"/>
  <c r="L41" i="2"/>
  <c r="P39" i="1"/>
  <c r="O35" i="1"/>
  <c r="M38" i="4"/>
  <c r="M40" i="4" s="1"/>
  <c r="P35" i="4"/>
  <c r="P36" i="4"/>
  <c r="P37" i="4"/>
  <c r="L39" i="4"/>
  <c r="M35" i="4"/>
  <c r="P38" i="4"/>
  <c r="O39" i="4"/>
  <c r="K39" i="4"/>
  <c r="N37" i="4"/>
  <c r="N40" i="4" s="1"/>
  <c r="N35" i="4"/>
  <c r="O41" i="4"/>
  <c r="M39" i="4"/>
  <c r="O35" i="4"/>
  <c r="O37" i="4"/>
  <c r="O40" i="4" s="1"/>
  <c r="O35" i="3"/>
  <c r="L39" i="3"/>
  <c r="P38" i="3"/>
  <c r="P40" i="3" s="1"/>
  <c r="P36" i="3"/>
  <c r="N39" i="3"/>
  <c r="L38" i="3"/>
  <c r="L40" i="3" s="1"/>
  <c r="N35" i="3"/>
  <c r="N37" i="3"/>
  <c r="N40" i="3" s="1"/>
  <c r="M38" i="3"/>
  <c r="M35" i="3"/>
  <c r="M37" i="3"/>
  <c r="M40" i="3" s="1"/>
  <c r="O41" i="3"/>
  <c r="O38" i="3"/>
  <c r="O40" i="3"/>
  <c r="O36" i="3"/>
  <c r="M41" i="3"/>
  <c r="M37" i="2"/>
  <c r="M40" i="2" s="1"/>
  <c r="M35" i="2"/>
  <c r="N35" i="2"/>
  <c r="N37" i="2"/>
  <c r="N40" i="2" s="1"/>
  <c r="O39" i="2"/>
  <c r="N41" i="2"/>
  <c r="M41" i="2"/>
  <c r="O35" i="2"/>
  <c r="O36" i="2"/>
  <c r="P35" i="2"/>
  <c r="P37" i="2"/>
  <c r="P40" i="2" s="1"/>
  <c r="P36" i="2"/>
  <c r="N36" i="2"/>
  <c r="M36" i="2"/>
  <c r="O38" i="2"/>
  <c r="O40" i="2" s="1"/>
  <c r="N36" i="1"/>
  <c r="L41" i="1"/>
  <c r="L35" i="1"/>
  <c r="N38" i="1"/>
  <c r="M41" i="1"/>
  <c r="O38" i="1"/>
  <c r="K38" i="1"/>
  <c r="K40" i="1" s="1"/>
  <c r="O39" i="1"/>
  <c r="M39" i="1"/>
  <c r="K39" i="1"/>
  <c r="O40" i="1"/>
  <c r="M38" i="1"/>
  <c r="M40" i="1" s="1"/>
  <c r="M36" i="1"/>
  <c r="P36" i="1"/>
  <c r="K41" i="1"/>
  <c r="K36" i="1"/>
  <c r="P35" i="1"/>
  <c r="N35" i="1"/>
  <c r="N37" i="1"/>
  <c r="L38" i="1"/>
  <c r="L40" i="1" s="1"/>
  <c r="N41" i="1"/>
  <c r="P38" i="1"/>
  <c r="P40" i="1" s="1"/>
  <c r="L36" i="1"/>
  <c r="P40" i="4" l="1"/>
  <c r="N40" i="1"/>
</calcChain>
</file>

<file path=xl/sharedStrings.xml><?xml version="1.0" encoding="utf-8"?>
<sst xmlns="http://schemas.openxmlformats.org/spreadsheetml/2006/main" count="608" uniqueCount="85">
  <si>
    <t>A1</t>
  </si>
  <si>
    <t>A</t>
  </si>
  <si>
    <t>A10</t>
  </si>
  <si>
    <t>A11</t>
  </si>
  <si>
    <t>A12</t>
  </si>
  <si>
    <t>A14</t>
  </si>
  <si>
    <t>A17</t>
  </si>
  <si>
    <t>A18</t>
  </si>
  <si>
    <t>A19</t>
  </si>
  <si>
    <t>A21</t>
  </si>
  <si>
    <t>A22</t>
  </si>
  <si>
    <t>A23</t>
  </si>
  <si>
    <t>A24</t>
  </si>
  <si>
    <t>A25</t>
  </si>
  <si>
    <t>A27</t>
  </si>
  <si>
    <t>A28</t>
  </si>
  <si>
    <t>A29</t>
  </si>
  <si>
    <t>A3</t>
  </si>
  <si>
    <t>A30</t>
  </si>
  <si>
    <t>A32</t>
  </si>
  <si>
    <t>A33</t>
  </si>
  <si>
    <t>A34</t>
  </si>
  <si>
    <t>A35</t>
  </si>
  <si>
    <t>A5</t>
  </si>
  <si>
    <t>A7</t>
  </si>
  <si>
    <t>A8</t>
  </si>
  <si>
    <t>A9</t>
  </si>
  <si>
    <t>H1</t>
  </si>
  <si>
    <t>H</t>
  </si>
  <si>
    <t>H10</t>
  </si>
  <si>
    <t>H10-3</t>
  </si>
  <si>
    <t>H12</t>
  </si>
  <si>
    <t>H13</t>
  </si>
  <si>
    <t>H14</t>
  </si>
  <si>
    <t>H14-1</t>
  </si>
  <si>
    <t>H16</t>
  </si>
  <si>
    <t>H18</t>
  </si>
  <si>
    <t>H2</t>
  </si>
  <si>
    <t>H2-1</t>
  </si>
  <si>
    <t>H22</t>
  </si>
  <si>
    <t>H2-3</t>
  </si>
  <si>
    <t>H24</t>
  </si>
  <si>
    <t>H25-2</t>
  </si>
  <si>
    <t>H26</t>
  </si>
  <si>
    <t>H38</t>
  </si>
  <si>
    <t>H39</t>
  </si>
  <si>
    <t>H4</t>
  </si>
  <si>
    <t>H40</t>
  </si>
  <si>
    <t>H5</t>
  </si>
  <si>
    <t>H6</t>
  </si>
  <si>
    <t>H6-3</t>
  </si>
  <si>
    <t>H7</t>
  </si>
  <si>
    <t>H9</t>
  </si>
  <si>
    <t>H9-2</t>
  </si>
  <si>
    <t>TP</t>
  </si>
  <si>
    <t>TN</t>
  </si>
  <si>
    <t>FP</t>
  </si>
  <si>
    <t>FN</t>
  </si>
  <si>
    <t>T</t>
  </si>
  <si>
    <t>F</t>
  </si>
  <si>
    <t>NPV</t>
  </si>
  <si>
    <t>F1</t>
  </si>
  <si>
    <t>MCC</t>
  </si>
  <si>
    <t>SVM-RBF</t>
  </si>
  <si>
    <t>Label</t>
  </si>
  <si>
    <t>Id</t>
  </si>
  <si>
    <t>Recall</t>
  </si>
  <si>
    <t>PPV</t>
  </si>
  <si>
    <t>Matthew's Coefficient</t>
  </si>
  <si>
    <t>F1 Score</t>
  </si>
  <si>
    <t>True Positivie</t>
  </si>
  <si>
    <t>False Negative</t>
  </si>
  <si>
    <t>False Positive</t>
  </si>
  <si>
    <t>Total Of True Prediction</t>
  </si>
  <si>
    <t>Total Of False Prediction</t>
  </si>
  <si>
    <t>Accuracy</t>
  </si>
  <si>
    <t>Recall (Precision)</t>
  </si>
  <si>
    <t>Sensitivity (Positive Predictive)</t>
  </si>
  <si>
    <t>Specificity (Negative Predictive)</t>
  </si>
  <si>
    <t>SVM-POLY</t>
  </si>
  <si>
    <t>SVM-Linear</t>
  </si>
  <si>
    <t>kNN-Min.</t>
  </si>
  <si>
    <t>kNN-Euc.</t>
  </si>
  <si>
    <t>kNN-Cos.</t>
  </si>
  <si>
    <t>Parameter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</si>
</sst>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7"/>
      <name val="Aptos"/>
      <family val="2"/>
    </font>
    <font>
      <sz val="7"/>
      <color theme="1"/>
      <name val="Aptos"/>
      <family val="2"/>
    </font>
    <font>
      <sz val="7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0" borderId="0"/>
  </cellStyleXfs>
  <cellXfs count="14">
    <xf numFmtId="0" fontId="0" fillId="0" borderId="0" xfId="0"/>
    <xf numFmtId="49" fontId="3" fillId="4" borderId="2" xfId="2" applyNumberFormat="1" applyFont="1" applyFill="1" applyBorder="1" applyAlignment="1">
      <alignment horizontal="center" vertical="center"/>
    </xf>
    <xf numFmtId="49" fontId="3" fillId="4" borderId="2" xfId="1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2" xfId="2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  <xf numFmtId="10" fontId="5" fillId="4" borderId="2" xfId="2" applyNumberFormat="1" applyFont="1" applyFill="1" applyBorder="1" applyAlignment="1">
      <alignment horizontal="center" vertical="center"/>
    </xf>
    <xf numFmtId="10" fontId="5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49" fontId="3" fillId="4" borderId="2" xfId="2" applyNumberFormat="1" applyFont="1" applyFill="1" applyBorder="1" applyAlignment="1">
      <alignment horizontal="center" vertical="center"/>
    </xf>
    <xf numFmtId="0" fontId="5" fillId="4" borderId="2" xfId="2" applyFont="1" applyFill="1" applyBorder="1" applyAlignment="1">
      <alignment horizontal="center" vertical="center"/>
    </xf>
  </cellXfs>
  <cellStyles count="3">
    <cellStyle name="Giriş" xfId="1" builtinId="20"/>
    <cellStyle name="Normal" xfId="0" builtinId="0"/>
    <cellStyle name="Normal 2" xfId="2" xr:uid="{296908A7-07C9-43EC-AF61-18FFBE18680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1"/>
  <sheetViews>
    <sheetView tabSelected="1"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0</v>
      </c>
      <c r="E2" s="6">
        <v>0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0</v>
      </c>
      <c r="N2" s="6">
        <v>0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0</v>
      </c>
      <c r="E3" s="6">
        <v>0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0</v>
      </c>
      <c r="N3" s="6">
        <v>0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0</v>
      </c>
      <c r="E4" s="6">
        <v>0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0</v>
      </c>
      <c r="N4" s="6">
        <v>0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0</v>
      </c>
      <c r="E5" s="6">
        <v>0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1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0</v>
      </c>
      <c r="E6" s="6">
        <v>0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0</v>
      </c>
      <c r="N6" s="6">
        <v>0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0</v>
      </c>
      <c r="E7" s="6">
        <v>0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0</v>
      </c>
      <c r="M7" s="6">
        <v>0</v>
      </c>
      <c r="N7" s="6">
        <v>0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0</v>
      </c>
      <c r="E8" s="6">
        <v>0</v>
      </c>
      <c r="F8" s="6">
        <v>1</v>
      </c>
      <c r="G8" s="6">
        <v>1</v>
      </c>
      <c r="H8" s="6">
        <v>1</v>
      </c>
      <c r="I8" s="3"/>
      <c r="J8" s="5" t="s">
        <v>34</v>
      </c>
      <c r="K8" s="5" t="s">
        <v>28</v>
      </c>
      <c r="L8" s="6">
        <v>0</v>
      </c>
      <c r="M8" s="6">
        <v>0</v>
      </c>
      <c r="N8" s="6">
        <v>0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0</v>
      </c>
      <c r="E9" s="6">
        <v>0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0</v>
      </c>
      <c r="O9" s="6">
        <v>1</v>
      </c>
      <c r="P9" s="6">
        <v>1</v>
      </c>
      <c r="Q9" s="6">
        <v>1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0</v>
      </c>
      <c r="N10" s="6">
        <v>0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0</v>
      </c>
      <c r="M11" s="6">
        <v>0</v>
      </c>
      <c r="N11" s="6">
        <v>0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0</v>
      </c>
      <c r="E12" s="6">
        <v>0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0</v>
      </c>
      <c r="N12" s="6">
        <v>0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0</v>
      </c>
      <c r="E13" s="6">
        <v>0</v>
      </c>
      <c r="F13" s="6">
        <v>1</v>
      </c>
      <c r="G13" s="6">
        <v>1</v>
      </c>
      <c r="H13" s="6">
        <v>1</v>
      </c>
      <c r="I13" s="3"/>
      <c r="J13" s="5" t="s">
        <v>39</v>
      </c>
      <c r="K13" s="5" t="s">
        <v>28</v>
      </c>
      <c r="L13" s="6">
        <v>0</v>
      </c>
      <c r="M13" s="6">
        <v>0</v>
      </c>
      <c r="N13" s="6">
        <v>0</v>
      </c>
      <c r="O13" s="6">
        <v>1</v>
      </c>
      <c r="P13" s="6">
        <v>1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0</v>
      </c>
      <c r="N14" s="6">
        <v>0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0</v>
      </c>
      <c r="E15" s="6">
        <v>0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0</v>
      </c>
      <c r="N15" s="6">
        <v>0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0</v>
      </c>
      <c r="E16" s="6">
        <v>0</v>
      </c>
      <c r="F16" s="6">
        <v>1</v>
      </c>
      <c r="G16" s="6">
        <v>1</v>
      </c>
      <c r="H16" s="6">
        <v>1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0</v>
      </c>
      <c r="O16" s="6">
        <v>1</v>
      </c>
      <c r="P16" s="6">
        <v>1</v>
      </c>
      <c r="Q16" s="6">
        <v>1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3"/>
      <c r="J17" s="5" t="s">
        <v>43</v>
      </c>
      <c r="K17" s="5" t="s">
        <v>28</v>
      </c>
      <c r="L17" s="6">
        <v>0</v>
      </c>
      <c r="M17" s="6">
        <v>0</v>
      </c>
      <c r="N17" s="6">
        <v>0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0</v>
      </c>
      <c r="E18" s="6">
        <v>0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0</v>
      </c>
      <c r="N18" s="6">
        <v>0</v>
      </c>
      <c r="O18" s="6">
        <v>1</v>
      </c>
      <c r="P18" s="6">
        <v>1</v>
      </c>
      <c r="Q18" s="6">
        <v>1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3"/>
      <c r="J19" s="5" t="s">
        <v>45</v>
      </c>
      <c r="K19" s="5" t="s">
        <v>28</v>
      </c>
      <c r="L19" s="6">
        <v>0</v>
      </c>
      <c r="M19" s="6">
        <v>0</v>
      </c>
      <c r="N19" s="6">
        <v>0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0</v>
      </c>
      <c r="N20" s="6">
        <v>0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3"/>
      <c r="J21" s="5" t="s">
        <v>47</v>
      </c>
      <c r="K21" s="5" t="s">
        <v>28</v>
      </c>
      <c r="L21" s="6">
        <v>0</v>
      </c>
      <c r="M21" s="6">
        <v>0</v>
      </c>
      <c r="N21" s="6">
        <v>0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0</v>
      </c>
      <c r="N22" s="6">
        <v>0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0</v>
      </c>
      <c r="F23" s="6">
        <v>1</v>
      </c>
      <c r="G23" s="6">
        <v>1</v>
      </c>
      <c r="H23" s="6">
        <v>1</v>
      </c>
      <c r="I23" s="3"/>
      <c r="J23" s="5" t="s">
        <v>49</v>
      </c>
      <c r="K23" s="5" t="s">
        <v>28</v>
      </c>
      <c r="L23" s="6">
        <v>0</v>
      </c>
      <c r="M23" s="6">
        <v>0</v>
      </c>
      <c r="N23" s="6">
        <v>0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0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0</v>
      </c>
      <c r="E25" s="6">
        <v>0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0</v>
      </c>
      <c r="E26" s="6">
        <v>0</v>
      </c>
      <c r="F26" s="6">
        <v>1</v>
      </c>
      <c r="G26" s="6">
        <v>1</v>
      </c>
      <c r="H26" s="6">
        <v>1</v>
      </c>
      <c r="I26" s="3"/>
      <c r="J26" s="5" t="s">
        <v>52</v>
      </c>
      <c r="K26" s="5" t="s">
        <v>28</v>
      </c>
      <c r="L26" s="6">
        <v>0</v>
      </c>
      <c r="M26" s="6">
        <v>0</v>
      </c>
      <c r="N26" s="6">
        <v>0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0</v>
      </c>
      <c r="E27" s="6">
        <v>0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0</v>
      </c>
      <c r="N27" s="6">
        <v>0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0</v>
      </c>
      <c r="M30" s="7">
        <f t="shared" si="0"/>
        <v>0</v>
      </c>
      <c r="N30" s="7">
        <f t="shared" si="0"/>
        <v>17</v>
      </c>
      <c r="O30" s="7">
        <f t="shared" si="0"/>
        <v>17</v>
      </c>
      <c r="P30" s="7">
        <f t="shared" si="0"/>
        <v>18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0</v>
      </c>
      <c r="M31" s="7">
        <f t="shared" si="1"/>
        <v>0</v>
      </c>
      <c r="N31" s="7">
        <f t="shared" si="1"/>
        <v>24</v>
      </c>
      <c r="O31" s="7">
        <f t="shared" si="1"/>
        <v>24</v>
      </c>
      <c r="P31" s="7">
        <f t="shared" si="1"/>
        <v>25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26</v>
      </c>
      <c r="M32" s="7">
        <f t="shared" si="2"/>
        <v>26</v>
      </c>
      <c r="N32" s="7">
        <f t="shared" si="2"/>
        <v>2</v>
      </c>
      <c r="O32" s="7">
        <f t="shared" si="2"/>
        <v>2</v>
      </c>
      <c r="P32" s="7">
        <f t="shared" si="2"/>
        <v>1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26</v>
      </c>
      <c r="M33" s="7">
        <f t="shared" si="3"/>
        <v>26</v>
      </c>
      <c r="N33" s="7">
        <f t="shared" si="3"/>
        <v>9</v>
      </c>
      <c r="O33" s="7">
        <f t="shared" si="3"/>
        <v>9</v>
      </c>
      <c r="P33" s="7">
        <f t="shared" si="3"/>
        <v>8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0</v>
      </c>
      <c r="M34" s="8">
        <f t="shared" si="4"/>
        <v>0</v>
      </c>
      <c r="N34" s="8">
        <f t="shared" si="4"/>
        <v>41</v>
      </c>
      <c r="O34" s="8">
        <f t="shared" si="4"/>
        <v>41</v>
      </c>
      <c r="P34" s="8">
        <f t="shared" si="4"/>
        <v>43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52</v>
      </c>
      <c r="M35" s="8">
        <f t="shared" si="5"/>
        <v>52</v>
      </c>
      <c r="N35" s="8">
        <f t="shared" si="5"/>
        <v>11</v>
      </c>
      <c r="O35" s="8">
        <f t="shared" si="5"/>
        <v>11</v>
      </c>
      <c r="P35" s="8">
        <f t="shared" si="5"/>
        <v>9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</v>
      </c>
      <c r="M36" s="9">
        <f t="shared" si="6"/>
        <v>0</v>
      </c>
      <c r="N36" s="9">
        <f t="shared" si="6"/>
        <v>0.78846153846153844</v>
      </c>
      <c r="O36" s="9">
        <f t="shared" si="6"/>
        <v>0.78846153846153844</v>
      </c>
      <c r="P36" s="9">
        <f t="shared" si="6"/>
        <v>0.82692307692307687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</v>
      </c>
      <c r="M37" s="10">
        <f t="shared" si="7"/>
        <v>0</v>
      </c>
      <c r="N37" s="10">
        <f t="shared" si="7"/>
        <v>0.89473684210526316</v>
      </c>
      <c r="O37" s="10">
        <f t="shared" si="7"/>
        <v>0.89473684210526316</v>
      </c>
      <c r="P37" s="10">
        <f t="shared" si="7"/>
        <v>0.94736842105263153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</v>
      </c>
      <c r="M38" s="10">
        <f t="shared" si="8"/>
        <v>0</v>
      </c>
      <c r="N38" s="10">
        <f t="shared" si="8"/>
        <v>0.65384615384615385</v>
      </c>
      <c r="O38" s="10">
        <f t="shared" si="8"/>
        <v>0.65384615384615385</v>
      </c>
      <c r="P38" s="10">
        <f t="shared" si="8"/>
        <v>0.69230769230769229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</v>
      </c>
      <c r="M39" s="10">
        <f t="shared" si="9"/>
        <v>0</v>
      </c>
      <c r="N39" s="10">
        <f t="shared" si="9"/>
        <v>0.72727272727272729</v>
      </c>
      <c r="O39" s="10">
        <f t="shared" si="9"/>
        <v>0.72727272727272729</v>
      </c>
      <c r="P39" s="10">
        <f t="shared" si="9"/>
        <v>0.75757575757575757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 t="e">
        <f t="shared" si="10"/>
        <v>#DIV/0!</v>
      </c>
      <c r="M40" s="10" t="e">
        <f t="shared" si="10"/>
        <v>#DIV/0!</v>
      </c>
      <c r="N40" s="10">
        <f t="shared" si="10"/>
        <v>0.75555555555555554</v>
      </c>
      <c r="O40" s="10">
        <f t="shared" si="10"/>
        <v>0.75555555555555554</v>
      </c>
      <c r="P40" s="10">
        <f t="shared" si="10"/>
        <v>0.79999999999999993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-1</v>
      </c>
      <c r="M41" s="7">
        <f t="shared" si="11"/>
        <v>-1</v>
      </c>
      <c r="N41" s="7">
        <f t="shared" si="11"/>
        <v>0.59899999999999998</v>
      </c>
      <c r="O41" s="7">
        <f t="shared" si="11"/>
        <v>0.59899999999999998</v>
      </c>
      <c r="P41" s="7">
        <f t="shared" si="11"/>
        <v>0.67900000000000005</v>
      </c>
      <c r="Q41" s="3"/>
    </row>
  </sheetData>
  <mergeCells count="13">
    <mergeCell ref="A32:G32"/>
    <mergeCell ref="A30:G30"/>
    <mergeCell ref="A31:G31"/>
    <mergeCell ref="A29:G29"/>
    <mergeCell ref="A41:G41"/>
    <mergeCell ref="A40:G40"/>
    <mergeCell ref="A39:G39"/>
    <mergeCell ref="A38:G38"/>
    <mergeCell ref="A37:G37"/>
    <mergeCell ref="A36:G36"/>
    <mergeCell ref="A35:G35"/>
    <mergeCell ref="A34:G34"/>
    <mergeCell ref="A33:G3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388FA-63B2-4DCF-9770-7B6BD321A3ED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0</v>
      </c>
      <c r="E2" s="6">
        <v>0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0</v>
      </c>
      <c r="N2" s="6">
        <v>0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0</v>
      </c>
      <c r="E3" s="6">
        <v>0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0</v>
      </c>
      <c r="N3" s="6">
        <v>0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0</v>
      </c>
      <c r="E4" s="6">
        <v>0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0</v>
      </c>
      <c r="N4" s="6">
        <v>0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0</v>
      </c>
      <c r="E5" s="6">
        <v>0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1</v>
      </c>
      <c r="P5" s="6">
        <v>1</v>
      </c>
      <c r="Q5" s="6">
        <v>1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0</v>
      </c>
      <c r="E6" s="6">
        <v>0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0</v>
      </c>
      <c r="N6" s="6">
        <v>0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0</v>
      </c>
      <c r="E7" s="6">
        <v>0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0</v>
      </c>
      <c r="M7" s="6">
        <v>0</v>
      </c>
      <c r="N7" s="6">
        <v>0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3"/>
      <c r="J8" s="5" t="s">
        <v>34</v>
      </c>
      <c r="K8" s="5" t="s">
        <v>28</v>
      </c>
      <c r="L8" s="6">
        <v>0</v>
      </c>
      <c r="M8" s="6">
        <v>0</v>
      </c>
      <c r="N8" s="6">
        <v>0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0</v>
      </c>
      <c r="E9" s="6">
        <v>0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0</v>
      </c>
      <c r="O9" s="6">
        <v>1</v>
      </c>
      <c r="P9" s="6">
        <v>1</v>
      </c>
      <c r="Q9" s="6">
        <v>1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0</v>
      </c>
      <c r="N10" s="6">
        <v>0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0</v>
      </c>
      <c r="M11" s="6">
        <v>0</v>
      </c>
      <c r="N11" s="6">
        <v>0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0</v>
      </c>
      <c r="E12" s="6">
        <v>0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0</v>
      </c>
      <c r="N12" s="6">
        <v>0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0</v>
      </c>
      <c r="E13" s="6">
        <v>0</v>
      </c>
      <c r="F13" s="6">
        <v>1</v>
      </c>
      <c r="G13" s="6">
        <v>1</v>
      </c>
      <c r="H13" s="6">
        <v>1</v>
      </c>
      <c r="I13" s="3"/>
      <c r="J13" s="5" t="s">
        <v>39</v>
      </c>
      <c r="K13" s="5" t="s">
        <v>28</v>
      </c>
      <c r="L13" s="6">
        <v>0</v>
      </c>
      <c r="M13" s="6">
        <v>0</v>
      </c>
      <c r="N13" s="6">
        <v>0</v>
      </c>
      <c r="O13" s="6">
        <v>1</v>
      </c>
      <c r="P13" s="6">
        <v>1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0</v>
      </c>
      <c r="N14" s="6">
        <v>0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0</v>
      </c>
      <c r="E15" s="6">
        <v>0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0</v>
      </c>
      <c r="N15" s="6">
        <v>0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0</v>
      </c>
      <c r="O16" s="6">
        <v>1</v>
      </c>
      <c r="P16" s="6">
        <v>1</v>
      </c>
      <c r="Q16" s="6">
        <v>0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3"/>
      <c r="J17" s="5" t="s">
        <v>43</v>
      </c>
      <c r="K17" s="5" t="s">
        <v>28</v>
      </c>
      <c r="L17" s="6">
        <v>0</v>
      </c>
      <c r="M17" s="6">
        <v>0</v>
      </c>
      <c r="N17" s="6">
        <v>0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0</v>
      </c>
      <c r="E18" s="6">
        <v>0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0</v>
      </c>
      <c r="N18" s="6">
        <v>0</v>
      </c>
      <c r="O18" s="6">
        <v>1</v>
      </c>
      <c r="P18" s="6">
        <v>1</v>
      </c>
      <c r="Q18" s="6">
        <v>1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3"/>
      <c r="J19" s="5" t="s">
        <v>45</v>
      </c>
      <c r="K19" s="5" t="s">
        <v>28</v>
      </c>
      <c r="L19" s="6">
        <v>0</v>
      </c>
      <c r="M19" s="6">
        <v>0</v>
      </c>
      <c r="N19" s="6">
        <v>0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3"/>
      <c r="J20" s="5" t="s">
        <v>46</v>
      </c>
      <c r="K20" s="5" t="s">
        <v>28</v>
      </c>
      <c r="L20" s="6">
        <v>0</v>
      </c>
      <c r="M20" s="6">
        <v>0</v>
      </c>
      <c r="N20" s="6">
        <v>0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0</v>
      </c>
      <c r="E21" s="6">
        <v>0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0</v>
      </c>
      <c r="N21" s="6">
        <v>0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0</v>
      </c>
      <c r="N22" s="6">
        <v>0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0</v>
      </c>
      <c r="F23" s="6">
        <v>1</v>
      </c>
      <c r="G23" s="6">
        <v>1</v>
      </c>
      <c r="H23" s="6">
        <v>1</v>
      </c>
      <c r="I23" s="3"/>
      <c r="J23" s="5" t="s">
        <v>49</v>
      </c>
      <c r="K23" s="5" t="s">
        <v>28</v>
      </c>
      <c r="L23" s="6">
        <v>0</v>
      </c>
      <c r="M23" s="6">
        <v>0</v>
      </c>
      <c r="N23" s="6">
        <v>0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0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0</v>
      </c>
      <c r="E25" s="6">
        <v>0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3"/>
      <c r="J26" s="5" t="s">
        <v>52</v>
      </c>
      <c r="K26" s="5" t="s">
        <v>28</v>
      </c>
      <c r="L26" s="6">
        <v>0</v>
      </c>
      <c r="M26" s="6">
        <v>0</v>
      </c>
      <c r="N26" s="6">
        <v>0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0</v>
      </c>
      <c r="E27" s="6">
        <v>0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0</v>
      </c>
      <c r="N27" s="6">
        <v>0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0</v>
      </c>
      <c r="M30" s="7">
        <f t="shared" si="0"/>
        <v>0</v>
      </c>
      <c r="N30" s="7">
        <f t="shared" si="0"/>
        <v>15</v>
      </c>
      <c r="O30" s="7">
        <f t="shared" si="0"/>
        <v>15</v>
      </c>
      <c r="P30" s="7">
        <f t="shared" si="0"/>
        <v>15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0</v>
      </c>
      <c r="M31" s="7">
        <f t="shared" si="1"/>
        <v>0</v>
      </c>
      <c r="N31" s="7">
        <f t="shared" si="1"/>
        <v>26</v>
      </c>
      <c r="O31" s="7">
        <f t="shared" si="1"/>
        <v>26</v>
      </c>
      <c r="P31" s="7">
        <f t="shared" si="1"/>
        <v>25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26</v>
      </c>
      <c r="M32" s="7">
        <f t="shared" si="2"/>
        <v>26</v>
      </c>
      <c r="N32" s="7">
        <f t="shared" si="2"/>
        <v>0</v>
      </c>
      <c r="O32" s="7">
        <f t="shared" si="2"/>
        <v>0</v>
      </c>
      <c r="P32" s="7">
        <f t="shared" si="2"/>
        <v>1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26</v>
      </c>
      <c r="M33" s="7">
        <f t="shared" si="3"/>
        <v>26</v>
      </c>
      <c r="N33" s="7">
        <f t="shared" si="3"/>
        <v>11</v>
      </c>
      <c r="O33" s="7">
        <f t="shared" si="3"/>
        <v>11</v>
      </c>
      <c r="P33" s="7">
        <f t="shared" si="3"/>
        <v>11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0</v>
      </c>
      <c r="M34" s="8">
        <f t="shared" si="4"/>
        <v>0</v>
      </c>
      <c r="N34" s="8">
        <f t="shared" si="4"/>
        <v>41</v>
      </c>
      <c r="O34" s="8">
        <f t="shared" si="4"/>
        <v>41</v>
      </c>
      <c r="P34" s="8">
        <f t="shared" si="4"/>
        <v>40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52</v>
      </c>
      <c r="M35" s="8">
        <f t="shared" si="5"/>
        <v>52</v>
      </c>
      <c r="N35" s="8">
        <f t="shared" si="5"/>
        <v>11</v>
      </c>
      <c r="O35" s="8">
        <f t="shared" si="5"/>
        <v>11</v>
      </c>
      <c r="P35" s="8">
        <f t="shared" si="5"/>
        <v>12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</v>
      </c>
      <c r="M36" s="9">
        <f t="shared" si="6"/>
        <v>0</v>
      </c>
      <c r="N36" s="9">
        <f t="shared" si="6"/>
        <v>0.78846153846153844</v>
      </c>
      <c r="O36" s="9">
        <f t="shared" si="6"/>
        <v>0.78846153846153844</v>
      </c>
      <c r="P36" s="9">
        <f t="shared" si="6"/>
        <v>0.76923076923076927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</v>
      </c>
      <c r="M37" s="10">
        <f t="shared" si="7"/>
        <v>0</v>
      </c>
      <c r="N37" s="10">
        <f t="shared" si="7"/>
        <v>1</v>
      </c>
      <c r="O37" s="10">
        <f t="shared" si="7"/>
        <v>1</v>
      </c>
      <c r="P37" s="10">
        <f t="shared" si="7"/>
        <v>0.9375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</v>
      </c>
      <c r="M38" s="10">
        <f t="shared" si="8"/>
        <v>0</v>
      </c>
      <c r="N38" s="10">
        <f t="shared" si="8"/>
        <v>0.57692307692307687</v>
      </c>
      <c r="O38" s="10">
        <f t="shared" si="8"/>
        <v>0.57692307692307687</v>
      </c>
      <c r="P38" s="10">
        <f t="shared" si="8"/>
        <v>0.57692307692307687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</v>
      </c>
      <c r="M39" s="10">
        <f t="shared" si="9"/>
        <v>0</v>
      </c>
      <c r="N39" s="10">
        <f t="shared" si="9"/>
        <v>0.70270270270270274</v>
      </c>
      <c r="O39" s="10">
        <f t="shared" si="9"/>
        <v>0.70270270270270274</v>
      </c>
      <c r="P39" s="10">
        <f t="shared" si="9"/>
        <v>0.69444444444444442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 t="e">
        <f t="shared" si="10"/>
        <v>#DIV/0!</v>
      </c>
      <c r="M40" s="10" t="e">
        <f t="shared" si="10"/>
        <v>#DIV/0!</v>
      </c>
      <c r="N40" s="10">
        <f t="shared" si="10"/>
        <v>0.73170731707317072</v>
      </c>
      <c r="O40" s="10">
        <f t="shared" si="10"/>
        <v>0.73170731707317072</v>
      </c>
      <c r="P40" s="10">
        <f t="shared" si="10"/>
        <v>0.7142857142857143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-1</v>
      </c>
      <c r="M41" s="7">
        <f t="shared" si="11"/>
        <v>-1</v>
      </c>
      <c r="N41" s="7">
        <f t="shared" si="11"/>
        <v>0.63700000000000001</v>
      </c>
      <c r="O41" s="7">
        <f t="shared" si="11"/>
        <v>0.63700000000000001</v>
      </c>
      <c r="P41" s="7">
        <f t="shared" si="11"/>
        <v>0.58299999999999996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20959-9F44-4D6A-91A7-F953C77D10FB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0</v>
      </c>
      <c r="E2" s="6">
        <v>0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0</v>
      </c>
      <c r="N2" s="6">
        <v>0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0</v>
      </c>
      <c r="E3" s="6">
        <v>0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0</v>
      </c>
      <c r="N3" s="6">
        <v>0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0</v>
      </c>
      <c r="E4" s="6">
        <v>0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0</v>
      </c>
      <c r="N4" s="6">
        <v>0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0</v>
      </c>
      <c r="E5" s="6">
        <v>0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0</v>
      </c>
      <c r="E6" s="6">
        <v>0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0</v>
      </c>
      <c r="N6" s="6">
        <v>0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0</v>
      </c>
      <c r="E7" s="6">
        <v>0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0</v>
      </c>
      <c r="M7" s="6">
        <v>0</v>
      </c>
      <c r="N7" s="6">
        <v>0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0</v>
      </c>
      <c r="E8" s="6">
        <v>0</v>
      </c>
      <c r="F8" s="6">
        <v>1</v>
      </c>
      <c r="G8" s="6">
        <v>1</v>
      </c>
      <c r="H8" s="6">
        <v>1</v>
      </c>
      <c r="I8" s="3"/>
      <c r="J8" s="5" t="s">
        <v>34</v>
      </c>
      <c r="K8" s="5" t="s">
        <v>28</v>
      </c>
      <c r="L8" s="6">
        <v>0</v>
      </c>
      <c r="M8" s="6">
        <v>0</v>
      </c>
      <c r="N8" s="6">
        <v>0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0</v>
      </c>
      <c r="E9" s="6">
        <v>0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0</v>
      </c>
      <c r="O9" s="6">
        <v>1</v>
      </c>
      <c r="P9" s="6">
        <v>1</v>
      </c>
      <c r="Q9" s="6">
        <v>1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0</v>
      </c>
      <c r="N10" s="6">
        <v>0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0</v>
      </c>
      <c r="M11" s="6">
        <v>0</v>
      </c>
      <c r="N11" s="6">
        <v>0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0</v>
      </c>
      <c r="E12" s="6">
        <v>0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0</v>
      </c>
      <c r="N12" s="6">
        <v>0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3"/>
      <c r="J13" s="5" t="s">
        <v>39</v>
      </c>
      <c r="K13" s="5" t="s">
        <v>28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0</v>
      </c>
      <c r="N14" s="6">
        <v>0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0</v>
      </c>
      <c r="E15" s="6">
        <v>0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0</v>
      </c>
      <c r="N15" s="6">
        <v>0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0</v>
      </c>
      <c r="O16" s="6">
        <v>1</v>
      </c>
      <c r="P16" s="6">
        <v>1</v>
      </c>
      <c r="Q16" s="6">
        <v>1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0</v>
      </c>
      <c r="E17" s="6">
        <v>0</v>
      </c>
      <c r="F17" s="6">
        <v>1</v>
      </c>
      <c r="G17" s="6">
        <v>1</v>
      </c>
      <c r="H17" s="6">
        <v>1</v>
      </c>
      <c r="I17" s="3"/>
      <c r="J17" s="5" t="s">
        <v>43</v>
      </c>
      <c r="K17" s="5" t="s">
        <v>28</v>
      </c>
      <c r="L17" s="6">
        <v>0</v>
      </c>
      <c r="M17" s="6">
        <v>0</v>
      </c>
      <c r="N17" s="6">
        <v>0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0</v>
      </c>
      <c r="E18" s="6">
        <v>0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0</v>
      </c>
      <c r="N18" s="6">
        <v>0</v>
      </c>
      <c r="O18" s="6">
        <v>1</v>
      </c>
      <c r="P18" s="6">
        <v>1</v>
      </c>
      <c r="Q18" s="6">
        <v>1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0</v>
      </c>
      <c r="E19" s="6">
        <v>0</v>
      </c>
      <c r="F19" s="6">
        <v>1</v>
      </c>
      <c r="G19" s="6">
        <v>1</v>
      </c>
      <c r="H19" s="6">
        <v>1</v>
      </c>
      <c r="I19" s="3"/>
      <c r="J19" s="5" t="s">
        <v>45</v>
      </c>
      <c r="K19" s="5" t="s">
        <v>28</v>
      </c>
      <c r="L19" s="6">
        <v>0</v>
      </c>
      <c r="M19" s="6">
        <v>0</v>
      </c>
      <c r="N19" s="6">
        <v>0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0</v>
      </c>
      <c r="E20" s="6">
        <v>0</v>
      </c>
      <c r="F20" s="6">
        <v>1</v>
      </c>
      <c r="G20" s="6">
        <v>1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0</v>
      </c>
      <c r="N20" s="6">
        <v>0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0</v>
      </c>
      <c r="E21" s="6">
        <v>0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0</v>
      </c>
      <c r="N21" s="6">
        <v>0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0</v>
      </c>
      <c r="N22" s="6">
        <v>0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3"/>
      <c r="J23" s="5" t="s">
        <v>49</v>
      </c>
      <c r="K23" s="5" t="s">
        <v>28</v>
      </c>
      <c r="L23" s="6">
        <v>0</v>
      </c>
      <c r="M23" s="6">
        <v>0</v>
      </c>
      <c r="N23" s="6">
        <v>0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0</v>
      </c>
      <c r="E24" s="6">
        <v>0</v>
      </c>
      <c r="F24" s="6">
        <v>1</v>
      </c>
      <c r="G24" s="6">
        <v>1</v>
      </c>
      <c r="H24" s="6">
        <v>1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0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0</v>
      </c>
      <c r="E25" s="6">
        <v>0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1</v>
      </c>
      <c r="P25" s="6">
        <v>1</v>
      </c>
      <c r="Q25" s="6">
        <v>1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3"/>
      <c r="J26" s="5" t="s">
        <v>52</v>
      </c>
      <c r="K26" s="5" t="s">
        <v>28</v>
      </c>
      <c r="L26" s="6">
        <v>0</v>
      </c>
      <c r="M26" s="6">
        <v>0</v>
      </c>
      <c r="N26" s="6">
        <v>0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0</v>
      </c>
      <c r="E27" s="6">
        <v>0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0</v>
      </c>
      <c r="N27" s="6">
        <v>0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0</v>
      </c>
      <c r="M30" s="7">
        <f t="shared" si="0"/>
        <v>0</v>
      </c>
      <c r="N30" s="7">
        <f t="shared" si="0"/>
        <v>18</v>
      </c>
      <c r="O30" s="7">
        <f t="shared" si="0"/>
        <v>18</v>
      </c>
      <c r="P30" s="7">
        <f t="shared" si="0"/>
        <v>18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0</v>
      </c>
      <c r="M31" s="7">
        <f t="shared" si="1"/>
        <v>0</v>
      </c>
      <c r="N31" s="7">
        <f t="shared" si="1"/>
        <v>24</v>
      </c>
      <c r="O31" s="7">
        <f t="shared" si="1"/>
        <v>24</v>
      </c>
      <c r="P31" s="7">
        <f t="shared" si="1"/>
        <v>24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26</v>
      </c>
      <c r="M32" s="7">
        <f t="shared" si="2"/>
        <v>26</v>
      </c>
      <c r="N32" s="7">
        <f t="shared" si="2"/>
        <v>2</v>
      </c>
      <c r="O32" s="7">
        <f t="shared" si="2"/>
        <v>2</v>
      </c>
      <c r="P32" s="7">
        <f t="shared" si="2"/>
        <v>2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26</v>
      </c>
      <c r="M33" s="7">
        <f t="shared" si="3"/>
        <v>26</v>
      </c>
      <c r="N33" s="7">
        <f t="shared" si="3"/>
        <v>8</v>
      </c>
      <c r="O33" s="7">
        <f t="shared" si="3"/>
        <v>8</v>
      </c>
      <c r="P33" s="7">
        <f t="shared" si="3"/>
        <v>8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0</v>
      </c>
      <c r="M34" s="8">
        <f t="shared" si="4"/>
        <v>0</v>
      </c>
      <c r="N34" s="8">
        <f t="shared" si="4"/>
        <v>42</v>
      </c>
      <c r="O34" s="8">
        <f t="shared" si="4"/>
        <v>42</v>
      </c>
      <c r="P34" s="8">
        <f t="shared" si="4"/>
        <v>42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52</v>
      </c>
      <c r="M35" s="8">
        <f t="shared" si="5"/>
        <v>52</v>
      </c>
      <c r="N35" s="8">
        <f t="shared" si="5"/>
        <v>10</v>
      </c>
      <c r="O35" s="8">
        <f t="shared" si="5"/>
        <v>10</v>
      </c>
      <c r="P35" s="8">
        <f t="shared" si="5"/>
        <v>10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</v>
      </c>
      <c r="M36" s="9">
        <f t="shared" si="6"/>
        <v>0</v>
      </c>
      <c r="N36" s="9">
        <f t="shared" si="6"/>
        <v>0.80769230769230771</v>
      </c>
      <c r="O36" s="9">
        <f t="shared" si="6"/>
        <v>0.80769230769230771</v>
      </c>
      <c r="P36" s="9">
        <f t="shared" si="6"/>
        <v>0.80769230769230771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</v>
      </c>
      <c r="M37" s="10">
        <f t="shared" si="7"/>
        <v>0</v>
      </c>
      <c r="N37" s="10">
        <f t="shared" si="7"/>
        <v>0.9</v>
      </c>
      <c r="O37" s="10">
        <f t="shared" si="7"/>
        <v>0.9</v>
      </c>
      <c r="P37" s="10">
        <f t="shared" si="7"/>
        <v>0.9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</v>
      </c>
      <c r="M38" s="10">
        <f t="shared" si="8"/>
        <v>0</v>
      </c>
      <c r="N38" s="10">
        <f t="shared" si="8"/>
        <v>0.69230769230769229</v>
      </c>
      <c r="O38" s="10">
        <f t="shared" si="8"/>
        <v>0.69230769230769229</v>
      </c>
      <c r="P38" s="10">
        <f t="shared" si="8"/>
        <v>0.69230769230769229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</v>
      </c>
      <c r="M39" s="10">
        <f t="shared" si="9"/>
        <v>0</v>
      </c>
      <c r="N39" s="10">
        <f t="shared" si="9"/>
        <v>0.75</v>
      </c>
      <c r="O39" s="10">
        <f t="shared" si="9"/>
        <v>0.75</v>
      </c>
      <c r="P39" s="10">
        <f t="shared" si="9"/>
        <v>0.75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 t="e">
        <f t="shared" si="10"/>
        <v>#DIV/0!</v>
      </c>
      <c r="M40" s="10" t="e">
        <f t="shared" si="10"/>
        <v>#DIV/0!</v>
      </c>
      <c r="N40" s="10">
        <f t="shared" si="10"/>
        <v>0.78260869565217384</v>
      </c>
      <c r="O40" s="10">
        <f t="shared" si="10"/>
        <v>0.78260869565217384</v>
      </c>
      <c r="P40" s="10">
        <f t="shared" si="10"/>
        <v>0.78260869565217384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-1</v>
      </c>
      <c r="M41" s="7">
        <f t="shared" si="11"/>
        <v>-1</v>
      </c>
      <c r="N41" s="7">
        <f t="shared" si="11"/>
        <v>0.63200000000000001</v>
      </c>
      <c r="O41" s="7">
        <f t="shared" si="11"/>
        <v>0.63200000000000001</v>
      </c>
      <c r="P41" s="7">
        <f t="shared" si="11"/>
        <v>0.63200000000000001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CC0AD-0C42-45E4-A5CA-72621E0E5767}">
  <dimension ref="A1:Q41"/>
  <sheetViews>
    <sheetView workbookViewId="0"/>
  </sheetViews>
  <sheetFormatPr defaultRowHeight="9.6" customHeight="1" x14ac:dyDescent="0.3"/>
  <cols>
    <col min="1" max="1" width="28.33203125" style="4" customWidth="1"/>
    <col min="2" max="8" width="10.5546875" style="4" customWidth="1"/>
    <col min="9" max="9" width="0.5546875" style="4" customWidth="1"/>
    <col min="10" max="10" width="28.33203125" style="4" customWidth="1"/>
    <col min="11" max="17" width="10.5546875" style="4" customWidth="1"/>
    <col min="18" max="16384" width="8.88671875" style="4"/>
  </cols>
  <sheetData>
    <row r="1" spans="1:17" ht="9" customHeight="1" x14ac:dyDescent="0.3">
      <c r="A1" s="1" t="s">
        <v>65</v>
      </c>
      <c r="B1" s="1" t="s">
        <v>64</v>
      </c>
      <c r="C1" s="1" t="s">
        <v>63</v>
      </c>
      <c r="D1" s="2" t="s">
        <v>79</v>
      </c>
      <c r="E1" s="2" t="s">
        <v>80</v>
      </c>
      <c r="F1" s="2" t="s">
        <v>81</v>
      </c>
      <c r="G1" s="2" t="s">
        <v>82</v>
      </c>
      <c r="H1" s="2" t="s">
        <v>83</v>
      </c>
      <c r="I1" s="3"/>
      <c r="J1" s="1" t="s">
        <v>65</v>
      </c>
      <c r="K1" s="1" t="s">
        <v>64</v>
      </c>
      <c r="L1" s="1" t="s">
        <v>63</v>
      </c>
      <c r="M1" s="2" t="s">
        <v>79</v>
      </c>
      <c r="N1" s="2" t="s">
        <v>80</v>
      </c>
      <c r="O1" s="2" t="s">
        <v>81</v>
      </c>
      <c r="P1" s="2" t="s">
        <v>82</v>
      </c>
      <c r="Q1" s="2" t="s">
        <v>83</v>
      </c>
    </row>
    <row r="2" spans="1:17" ht="9" customHeight="1" x14ac:dyDescent="0.3">
      <c r="A2" s="5" t="s">
        <v>0</v>
      </c>
      <c r="B2" s="5" t="s">
        <v>1</v>
      </c>
      <c r="C2" s="6">
        <v>0</v>
      </c>
      <c r="D2" s="6">
        <v>0</v>
      </c>
      <c r="E2" s="6">
        <v>0</v>
      </c>
      <c r="F2" s="6">
        <v>1</v>
      </c>
      <c r="G2" s="6">
        <v>1</v>
      </c>
      <c r="H2" s="6">
        <v>1</v>
      </c>
      <c r="I2" s="3"/>
      <c r="J2" s="5" t="s">
        <v>27</v>
      </c>
      <c r="K2" s="5" t="s">
        <v>28</v>
      </c>
      <c r="L2" s="6">
        <v>0</v>
      </c>
      <c r="M2" s="6">
        <v>0</v>
      </c>
      <c r="N2" s="6">
        <v>0</v>
      </c>
      <c r="O2" s="6">
        <v>1</v>
      </c>
      <c r="P2" s="6">
        <v>1</v>
      </c>
      <c r="Q2" s="6">
        <v>1</v>
      </c>
    </row>
    <row r="3" spans="1:17" ht="9" customHeight="1" x14ac:dyDescent="0.3">
      <c r="A3" s="5" t="s">
        <v>2</v>
      </c>
      <c r="B3" s="5" t="s">
        <v>1</v>
      </c>
      <c r="C3" s="6">
        <v>0</v>
      </c>
      <c r="D3" s="6">
        <v>0</v>
      </c>
      <c r="E3" s="6">
        <v>0</v>
      </c>
      <c r="F3" s="6">
        <v>1</v>
      </c>
      <c r="G3" s="6">
        <v>1</v>
      </c>
      <c r="H3" s="6">
        <v>1</v>
      </c>
      <c r="I3" s="3"/>
      <c r="J3" s="5" t="s">
        <v>29</v>
      </c>
      <c r="K3" s="5" t="s">
        <v>28</v>
      </c>
      <c r="L3" s="6">
        <v>0</v>
      </c>
      <c r="M3" s="6">
        <v>0</v>
      </c>
      <c r="N3" s="6">
        <v>0</v>
      </c>
      <c r="O3" s="6">
        <v>1</v>
      </c>
      <c r="P3" s="6">
        <v>1</v>
      </c>
      <c r="Q3" s="6">
        <v>1</v>
      </c>
    </row>
    <row r="4" spans="1:17" ht="9" customHeight="1" x14ac:dyDescent="0.3">
      <c r="A4" s="5" t="s">
        <v>3</v>
      </c>
      <c r="B4" s="5" t="s">
        <v>1</v>
      </c>
      <c r="C4" s="6">
        <v>0</v>
      </c>
      <c r="D4" s="6">
        <v>0</v>
      </c>
      <c r="E4" s="6">
        <v>0</v>
      </c>
      <c r="F4" s="6">
        <v>1</v>
      </c>
      <c r="G4" s="6">
        <v>1</v>
      </c>
      <c r="H4" s="6">
        <v>1</v>
      </c>
      <c r="I4" s="3"/>
      <c r="J4" s="5" t="s">
        <v>30</v>
      </c>
      <c r="K4" s="5" t="s">
        <v>28</v>
      </c>
      <c r="L4" s="6">
        <v>0</v>
      </c>
      <c r="M4" s="6">
        <v>0</v>
      </c>
      <c r="N4" s="6">
        <v>0</v>
      </c>
      <c r="O4" s="6">
        <v>1</v>
      </c>
      <c r="P4" s="6">
        <v>1</v>
      </c>
      <c r="Q4" s="6">
        <v>1</v>
      </c>
    </row>
    <row r="5" spans="1:17" ht="9" customHeight="1" x14ac:dyDescent="0.3">
      <c r="A5" s="5" t="s">
        <v>4</v>
      </c>
      <c r="B5" s="5" t="s">
        <v>1</v>
      </c>
      <c r="C5" s="6">
        <v>0</v>
      </c>
      <c r="D5" s="6">
        <v>0</v>
      </c>
      <c r="E5" s="6">
        <v>0</v>
      </c>
      <c r="F5" s="6">
        <v>1</v>
      </c>
      <c r="G5" s="6">
        <v>1</v>
      </c>
      <c r="H5" s="6">
        <v>1</v>
      </c>
      <c r="I5" s="3"/>
      <c r="J5" s="5" t="s">
        <v>31</v>
      </c>
      <c r="K5" s="5" t="s">
        <v>28</v>
      </c>
      <c r="L5" s="6">
        <v>0</v>
      </c>
      <c r="M5" s="6">
        <v>0</v>
      </c>
      <c r="N5" s="6">
        <v>0</v>
      </c>
      <c r="O5" s="6">
        <v>1</v>
      </c>
      <c r="P5" s="6">
        <v>1</v>
      </c>
      <c r="Q5" s="6">
        <v>1</v>
      </c>
    </row>
    <row r="6" spans="1:17" ht="9" customHeight="1" x14ac:dyDescent="0.3">
      <c r="A6" s="5" t="s">
        <v>5</v>
      </c>
      <c r="B6" s="5" t="s">
        <v>1</v>
      </c>
      <c r="C6" s="6">
        <v>0</v>
      </c>
      <c r="D6" s="6">
        <v>0</v>
      </c>
      <c r="E6" s="6">
        <v>0</v>
      </c>
      <c r="F6" s="6">
        <v>1</v>
      </c>
      <c r="G6" s="6">
        <v>1</v>
      </c>
      <c r="H6" s="6">
        <v>1</v>
      </c>
      <c r="I6" s="3"/>
      <c r="J6" s="5" t="s">
        <v>32</v>
      </c>
      <c r="K6" s="5" t="s">
        <v>28</v>
      </c>
      <c r="L6" s="6">
        <v>0</v>
      </c>
      <c r="M6" s="6">
        <v>0</v>
      </c>
      <c r="N6" s="6">
        <v>0</v>
      </c>
      <c r="O6" s="6">
        <v>1</v>
      </c>
      <c r="P6" s="6">
        <v>1</v>
      </c>
      <c r="Q6" s="6">
        <v>1</v>
      </c>
    </row>
    <row r="7" spans="1:17" ht="9" customHeight="1" x14ac:dyDescent="0.3">
      <c r="A7" s="5" t="s">
        <v>6</v>
      </c>
      <c r="B7" s="5" t="s">
        <v>1</v>
      </c>
      <c r="C7" s="6">
        <v>0</v>
      </c>
      <c r="D7" s="6">
        <v>0</v>
      </c>
      <c r="E7" s="6">
        <v>0</v>
      </c>
      <c r="F7" s="6">
        <v>1</v>
      </c>
      <c r="G7" s="6">
        <v>1</v>
      </c>
      <c r="H7" s="6">
        <v>1</v>
      </c>
      <c r="I7" s="3"/>
      <c r="J7" s="5" t="s">
        <v>33</v>
      </c>
      <c r="K7" s="5" t="s">
        <v>28</v>
      </c>
      <c r="L7" s="6">
        <v>0</v>
      </c>
      <c r="M7" s="6">
        <v>0</v>
      </c>
      <c r="N7" s="6">
        <v>0</v>
      </c>
      <c r="O7" s="6">
        <v>1</v>
      </c>
      <c r="P7" s="6">
        <v>1</v>
      </c>
      <c r="Q7" s="6">
        <v>1</v>
      </c>
    </row>
    <row r="8" spans="1:17" ht="9" customHeight="1" x14ac:dyDescent="0.3">
      <c r="A8" s="5" t="s">
        <v>7</v>
      </c>
      <c r="B8" s="5" t="s">
        <v>1</v>
      </c>
      <c r="C8" s="6">
        <v>0</v>
      </c>
      <c r="D8" s="6">
        <v>0</v>
      </c>
      <c r="E8" s="6">
        <v>0</v>
      </c>
      <c r="F8" s="6">
        <v>1</v>
      </c>
      <c r="G8" s="6">
        <v>1</v>
      </c>
      <c r="H8" s="6">
        <v>1</v>
      </c>
      <c r="I8" s="3"/>
      <c r="J8" s="5" t="s">
        <v>34</v>
      </c>
      <c r="K8" s="5" t="s">
        <v>28</v>
      </c>
      <c r="L8" s="6">
        <v>0</v>
      </c>
      <c r="M8" s="6">
        <v>0</v>
      </c>
      <c r="N8" s="6">
        <v>0</v>
      </c>
      <c r="O8" s="6">
        <v>1</v>
      </c>
      <c r="P8" s="6">
        <v>1</v>
      </c>
      <c r="Q8" s="6">
        <v>1</v>
      </c>
    </row>
    <row r="9" spans="1:17" ht="9" customHeight="1" x14ac:dyDescent="0.3">
      <c r="A9" s="5" t="s">
        <v>8</v>
      </c>
      <c r="B9" s="5" t="s">
        <v>1</v>
      </c>
      <c r="C9" s="6">
        <v>0</v>
      </c>
      <c r="D9" s="6">
        <v>0</v>
      </c>
      <c r="E9" s="6">
        <v>0</v>
      </c>
      <c r="F9" s="6">
        <v>1</v>
      </c>
      <c r="G9" s="6">
        <v>1</v>
      </c>
      <c r="H9" s="6">
        <v>1</v>
      </c>
      <c r="I9" s="3"/>
      <c r="J9" s="5" t="s">
        <v>35</v>
      </c>
      <c r="K9" s="5" t="s">
        <v>28</v>
      </c>
      <c r="L9" s="6">
        <v>0</v>
      </c>
      <c r="M9" s="6">
        <v>0</v>
      </c>
      <c r="N9" s="6">
        <v>0</v>
      </c>
      <c r="O9" s="6">
        <v>1</v>
      </c>
      <c r="P9" s="6">
        <v>1</v>
      </c>
      <c r="Q9" s="6">
        <v>1</v>
      </c>
    </row>
    <row r="10" spans="1:17" ht="9" customHeight="1" x14ac:dyDescent="0.3">
      <c r="A10" s="5" t="s">
        <v>9</v>
      </c>
      <c r="B10" s="5" t="s">
        <v>1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3"/>
      <c r="J10" s="5" t="s">
        <v>36</v>
      </c>
      <c r="K10" s="5" t="s">
        <v>28</v>
      </c>
      <c r="L10" s="6">
        <v>0</v>
      </c>
      <c r="M10" s="6">
        <v>0</v>
      </c>
      <c r="N10" s="6">
        <v>0</v>
      </c>
      <c r="O10" s="6">
        <v>1</v>
      </c>
      <c r="P10" s="6">
        <v>1</v>
      </c>
      <c r="Q10" s="6">
        <v>1</v>
      </c>
    </row>
    <row r="11" spans="1:17" ht="9" customHeight="1" x14ac:dyDescent="0.3">
      <c r="A11" s="5" t="s">
        <v>10</v>
      </c>
      <c r="B11" s="5" t="s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3"/>
      <c r="J11" s="5" t="s">
        <v>37</v>
      </c>
      <c r="K11" s="5" t="s">
        <v>28</v>
      </c>
      <c r="L11" s="6">
        <v>0</v>
      </c>
      <c r="M11" s="6">
        <v>0</v>
      </c>
      <c r="N11" s="6">
        <v>0</v>
      </c>
      <c r="O11" s="6">
        <v>1</v>
      </c>
      <c r="P11" s="6">
        <v>1</v>
      </c>
      <c r="Q11" s="6">
        <v>1</v>
      </c>
    </row>
    <row r="12" spans="1:17" ht="9" customHeight="1" x14ac:dyDescent="0.3">
      <c r="A12" s="5" t="s">
        <v>11</v>
      </c>
      <c r="B12" s="5" t="s">
        <v>1</v>
      </c>
      <c r="C12" s="6">
        <v>0</v>
      </c>
      <c r="D12" s="6">
        <v>0</v>
      </c>
      <c r="E12" s="6">
        <v>0</v>
      </c>
      <c r="F12" s="6">
        <v>1</v>
      </c>
      <c r="G12" s="6">
        <v>1</v>
      </c>
      <c r="H12" s="6">
        <v>1</v>
      </c>
      <c r="I12" s="3"/>
      <c r="J12" s="5" t="s">
        <v>38</v>
      </c>
      <c r="K12" s="5" t="s">
        <v>28</v>
      </c>
      <c r="L12" s="6">
        <v>0</v>
      </c>
      <c r="M12" s="6">
        <v>0</v>
      </c>
      <c r="N12" s="6">
        <v>0</v>
      </c>
      <c r="O12" s="6">
        <v>1</v>
      </c>
      <c r="P12" s="6">
        <v>1</v>
      </c>
      <c r="Q12" s="6">
        <v>1</v>
      </c>
    </row>
    <row r="13" spans="1:17" ht="9" customHeight="1" x14ac:dyDescent="0.3">
      <c r="A13" s="5" t="s">
        <v>12</v>
      </c>
      <c r="B13" s="5" t="s">
        <v>1</v>
      </c>
      <c r="C13" s="6">
        <v>0</v>
      </c>
      <c r="D13" s="6">
        <v>0</v>
      </c>
      <c r="E13" s="6">
        <v>0</v>
      </c>
      <c r="F13" s="6">
        <v>1</v>
      </c>
      <c r="G13" s="6">
        <v>1</v>
      </c>
      <c r="H13" s="6">
        <v>1</v>
      </c>
      <c r="I13" s="3"/>
      <c r="J13" s="5" t="s">
        <v>39</v>
      </c>
      <c r="K13" s="5" t="s">
        <v>28</v>
      </c>
      <c r="L13" s="6">
        <v>0</v>
      </c>
      <c r="M13" s="6">
        <v>0</v>
      </c>
      <c r="N13" s="6">
        <v>0</v>
      </c>
      <c r="O13" s="6">
        <v>1</v>
      </c>
      <c r="P13" s="6">
        <v>1</v>
      </c>
      <c r="Q13" s="6">
        <v>1</v>
      </c>
    </row>
    <row r="14" spans="1:17" ht="9" customHeight="1" x14ac:dyDescent="0.3">
      <c r="A14" s="5" t="s">
        <v>13</v>
      </c>
      <c r="B14" s="5" t="s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3"/>
      <c r="J14" s="5" t="s">
        <v>40</v>
      </c>
      <c r="K14" s="5" t="s">
        <v>28</v>
      </c>
      <c r="L14" s="6">
        <v>0</v>
      </c>
      <c r="M14" s="6">
        <v>0</v>
      </c>
      <c r="N14" s="6">
        <v>0</v>
      </c>
      <c r="O14" s="6">
        <v>1</v>
      </c>
      <c r="P14" s="6">
        <v>1</v>
      </c>
      <c r="Q14" s="6">
        <v>1</v>
      </c>
    </row>
    <row r="15" spans="1:17" ht="9" customHeight="1" x14ac:dyDescent="0.3">
      <c r="A15" s="5" t="s">
        <v>14</v>
      </c>
      <c r="B15" s="5" t="s">
        <v>1</v>
      </c>
      <c r="C15" s="6">
        <v>0</v>
      </c>
      <c r="D15" s="6">
        <v>0</v>
      </c>
      <c r="E15" s="6">
        <v>0</v>
      </c>
      <c r="F15" s="6">
        <v>1</v>
      </c>
      <c r="G15" s="6">
        <v>1</v>
      </c>
      <c r="H15" s="6">
        <v>1</v>
      </c>
      <c r="I15" s="3"/>
      <c r="J15" s="5" t="s">
        <v>41</v>
      </c>
      <c r="K15" s="5" t="s">
        <v>28</v>
      </c>
      <c r="L15" s="6">
        <v>0</v>
      </c>
      <c r="M15" s="6">
        <v>0</v>
      </c>
      <c r="N15" s="6">
        <v>0</v>
      </c>
      <c r="O15" s="6">
        <v>1</v>
      </c>
      <c r="P15" s="6">
        <v>1</v>
      </c>
      <c r="Q15" s="6">
        <v>1</v>
      </c>
    </row>
    <row r="16" spans="1:17" ht="9" customHeight="1" x14ac:dyDescent="0.3">
      <c r="A16" s="5" t="s">
        <v>15</v>
      </c>
      <c r="B16" s="5" t="s">
        <v>1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3"/>
      <c r="J16" s="5" t="s">
        <v>42</v>
      </c>
      <c r="K16" s="5" t="s">
        <v>28</v>
      </c>
      <c r="L16" s="6">
        <v>0</v>
      </c>
      <c r="M16" s="6">
        <v>0</v>
      </c>
      <c r="N16" s="6">
        <v>0</v>
      </c>
      <c r="O16" s="6">
        <v>1</v>
      </c>
      <c r="P16" s="6">
        <v>1</v>
      </c>
      <c r="Q16" s="6">
        <v>1</v>
      </c>
    </row>
    <row r="17" spans="1:17" ht="9" customHeight="1" x14ac:dyDescent="0.3">
      <c r="A17" s="5" t="s">
        <v>16</v>
      </c>
      <c r="B17" s="5" t="s">
        <v>1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3"/>
      <c r="J17" s="5" t="s">
        <v>43</v>
      </c>
      <c r="K17" s="5" t="s">
        <v>28</v>
      </c>
      <c r="L17" s="6">
        <v>0</v>
      </c>
      <c r="M17" s="6">
        <v>0</v>
      </c>
      <c r="N17" s="6">
        <v>0</v>
      </c>
      <c r="O17" s="6">
        <v>1</v>
      </c>
      <c r="P17" s="6">
        <v>1</v>
      </c>
      <c r="Q17" s="6">
        <v>1</v>
      </c>
    </row>
    <row r="18" spans="1:17" ht="9" customHeight="1" x14ac:dyDescent="0.3">
      <c r="A18" s="5" t="s">
        <v>17</v>
      </c>
      <c r="B18" s="5" t="s">
        <v>1</v>
      </c>
      <c r="C18" s="6">
        <v>0</v>
      </c>
      <c r="D18" s="6">
        <v>0</v>
      </c>
      <c r="E18" s="6">
        <v>0</v>
      </c>
      <c r="F18" s="6">
        <v>1</v>
      </c>
      <c r="G18" s="6">
        <v>1</v>
      </c>
      <c r="H18" s="6">
        <v>1</v>
      </c>
      <c r="I18" s="3"/>
      <c r="J18" s="5" t="s">
        <v>44</v>
      </c>
      <c r="K18" s="5" t="s">
        <v>28</v>
      </c>
      <c r="L18" s="6">
        <v>0</v>
      </c>
      <c r="M18" s="6">
        <v>0</v>
      </c>
      <c r="N18" s="6">
        <v>0</v>
      </c>
      <c r="O18" s="6">
        <v>1</v>
      </c>
      <c r="P18" s="6">
        <v>1</v>
      </c>
      <c r="Q18" s="6">
        <v>1</v>
      </c>
    </row>
    <row r="19" spans="1:17" ht="9" customHeight="1" x14ac:dyDescent="0.3">
      <c r="A19" s="5" t="s">
        <v>18</v>
      </c>
      <c r="B19" s="5" t="s">
        <v>1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3"/>
      <c r="J19" s="5" t="s">
        <v>45</v>
      </c>
      <c r="K19" s="5" t="s">
        <v>28</v>
      </c>
      <c r="L19" s="6">
        <v>0</v>
      </c>
      <c r="M19" s="6">
        <v>0</v>
      </c>
      <c r="N19" s="6">
        <v>0</v>
      </c>
      <c r="O19" s="6">
        <v>1</v>
      </c>
      <c r="P19" s="6">
        <v>1</v>
      </c>
      <c r="Q19" s="6">
        <v>1</v>
      </c>
    </row>
    <row r="20" spans="1:17" ht="9" customHeight="1" x14ac:dyDescent="0.3">
      <c r="A20" s="5" t="s">
        <v>19</v>
      </c>
      <c r="B20" s="5" t="s">
        <v>1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1</v>
      </c>
      <c r="I20" s="3"/>
      <c r="J20" s="5" t="s">
        <v>46</v>
      </c>
      <c r="K20" s="5" t="s">
        <v>28</v>
      </c>
      <c r="L20" s="6">
        <v>0</v>
      </c>
      <c r="M20" s="6">
        <v>0</v>
      </c>
      <c r="N20" s="6">
        <v>0</v>
      </c>
      <c r="O20" s="6">
        <v>1</v>
      </c>
      <c r="P20" s="6">
        <v>1</v>
      </c>
      <c r="Q20" s="6">
        <v>1</v>
      </c>
    </row>
    <row r="21" spans="1:17" ht="9" customHeight="1" x14ac:dyDescent="0.3">
      <c r="A21" s="5" t="s">
        <v>20</v>
      </c>
      <c r="B21" s="5" t="s">
        <v>1</v>
      </c>
      <c r="C21" s="6">
        <v>0</v>
      </c>
      <c r="D21" s="6">
        <v>0</v>
      </c>
      <c r="E21" s="6">
        <v>0</v>
      </c>
      <c r="F21" s="6">
        <v>1</v>
      </c>
      <c r="G21" s="6">
        <v>1</v>
      </c>
      <c r="H21" s="6">
        <v>1</v>
      </c>
      <c r="I21" s="3"/>
      <c r="J21" s="5" t="s">
        <v>47</v>
      </c>
      <c r="K21" s="5" t="s">
        <v>28</v>
      </c>
      <c r="L21" s="6">
        <v>0</v>
      </c>
      <c r="M21" s="6">
        <v>0</v>
      </c>
      <c r="N21" s="6">
        <v>0</v>
      </c>
      <c r="O21" s="6">
        <v>1</v>
      </c>
      <c r="P21" s="6">
        <v>1</v>
      </c>
      <c r="Q21" s="6">
        <v>1</v>
      </c>
    </row>
    <row r="22" spans="1:17" ht="9" customHeight="1" x14ac:dyDescent="0.3">
      <c r="A22" s="5" t="s">
        <v>21</v>
      </c>
      <c r="B22" s="5" t="s">
        <v>1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3"/>
      <c r="J22" s="5" t="s">
        <v>48</v>
      </c>
      <c r="K22" s="5" t="s">
        <v>28</v>
      </c>
      <c r="L22" s="6">
        <v>0</v>
      </c>
      <c r="M22" s="6">
        <v>0</v>
      </c>
      <c r="N22" s="6">
        <v>0</v>
      </c>
      <c r="O22" s="6">
        <v>1</v>
      </c>
      <c r="P22" s="6">
        <v>1</v>
      </c>
      <c r="Q22" s="6">
        <v>1</v>
      </c>
    </row>
    <row r="23" spans="1:17" ht="9" customHeight="1" x14ac:dyDescent="0.3">
      <c r="A23" s="5" t="s">
        <v>22</v>
      </c>
      <c r="B23" s="5" t="s">
        <v>1</v>
      </c>
      <c r="C23" s="6">
        <v>0</v>
      </c>
      <c r="D23" s="6">
        <v>0</v>
      </c>
      <c r="E23" s="6">
        <v>0</v>
      </c>
      <c r="F23" s="6">
        <v>1</v>
      </c>
      <c r="G23" s="6">
        <v>1</v>
      </c>
      <c r="H23" s="6">
        <v>1</v>
      </c>
      <c r="I23" s="3"/>
      <c r="J23" s="5" t="s">
        <v>49</v>
      </c>
      <c r="K23" s="5" t="s">
        <v>28</v>
      </c>
      <c r="L23" s="6">
        <v>0</v>
      </c>
      <c r="M23" s="6">
        <v>0</v>
      </c>
      <c r="N23" s="6">
        <v>0</v>
      </c>
      <c r="O23" s="6">
        <v>1</v>
      </c>
      <c r="P23" s="6">
        <v>1</v>
      </c>
      <c r="Q23" s="6">
        <v>1</v>
      </c>
    </row>
    <row r="24" spans="1:17" ht="9" customHeight="1" x14ac:dyDescent="0.3">
      <c r="A24" s="5" t="s">
        <v>23</v>
      </c>
      <c r="B24" s="5" t="s">
        <v>1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3"/>
      <c r="J24" s="5" t="s">
        <v>50</v>
      </c>
      <c r="K24" s="5" t="s">
        <v>28</v>
      </c>
      <c r="L24" s="6">
        <v>0</v>
      </c>
      <c r="M24" s="6">
        <v>0</v>
      </c>
      <c r="N24" s="6">
        <v>0</v>
      </c>
      <c r="O24" s="6">
        <v>1</v>
      </c>
      <c r="P24" s="6">
        <v>1</v>
      </c>
      <c r="Q24" s="6">
        <v>1</v>
      </c>
    </row>
    <row r="25" spans="1:17" ht="9" customHeight="1" x14ac:dyDescent="0.3">
      <c r="A25" s="5" t="s">
        <v>24</v>
      </c>
      <c r="B25" s="5" t="s">
        <v>1</v>
      </c>
      <c r="C25" s="6">
        <v>0</v>
      </c>
      <c r="D25" s="6">
        <v>0</v>
      </c>
      <c r="E25" s="6">
        <v>0</v>
      </c>
      <c r="F25" s="6">
        <v>1</v>
      </c>
      <c r="G25" s="6">
        <v>1</v>
      </c>
      <c r="H25" s="6">
        <v>1</v>
      </c>
      <c r="I25" s="3"/>
      <c r="J25" s="5" t="s">
        <v>51</v>
      </c>
      <c r="K25" s="5" t="s">
        <v>28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</row>
    <row r="26" spans="1:17" ht="9" customHeight="1" x14ac:dyDescent="0.3">
      <c r="A26" s="5" t="s">
        <v>25</v>
      </c>
      <c r="B26" s="5" t="s">
        <v>1</v>
      </c>
      <c r="C26" s="6">
        <v>0</v>
      </c>
      <c r="D26" s="6">
        <v>0</v>
      </c>
      <c r="E26" s="6">
        <v>0</v>
      </c>
      <c r="F26" s="6">
        <v>1</v>
      </c>
      <c r="G26" s="6">
        <v>1</v>
      </c>
      <c r="H26" s="6">
        <v>1</v>
      </c>
      <c r="I26" s="3"/>
      <c r="J26" s="5" t="s">
        <v>52</v>
      </c>
      <c r="K26" s="5" t="s">
        <v>28</v>
      </c>
      <c r="L26" s="6">
        <v>0</v>
      </c>
      <c r="M26" s="6">
        <v>0</v>
      </c>
      <c r="N26" s="6">
        <v>0</v>
      </c>
      <c r="O26" s="6">
        <v>1</v>
      </c>
      <c r="P26" s="6">
        <v>1</v>
      </c>
      <c r="Q26" s="6">
        <v>1</v>
      </c>
    </row>
    <row r="27" spans="1:17" ht="9" customHeight="1" x14ac:dyDescent="0.3">
      <c r="A27" s="5" t="s">
        <v>26</v>
      </c>
      <c r="B27" s="5" t="s">
        <v>1</v>
      </c>
      <c r="C27" s="6">
        <v>0</v>
      </c>
      <c r="D27" s="6">
        <v>0</v>
      </c>
      <c r="E27" s="6">
        <v>0</v>
      </c>
      <c r="F27" s="6">
        <v>1</v>
      </c>
      <c r="G27" s="6">
        <v>1</v>
      </c>
      <c r="H27" s="6">
        <v>1</v>
      </c>
      <c r="I27" s="3"/>
      <c r="J27" s="5" t="s">
        <v>53</v>
      </c>
      <c r="K27" s="5" t="s">
        <v>28</v>
      </c>
      <c r="L27" s="6">
        <v>0</v>
      </c>
      <c r="M27" s="6">
        <v>0</v>
      </c>
      <c r="N27" s="6">
        <v>0</v>
      </c>
      <c r="O27" s="6">
        <v>1</v>
      </c>
      <c r="P27" s="6">
        <v>1</v>
      </c>
      <c r="Q27" s="6">
        <v>1</v>
      </c>
    </row>
    <row r="28" spans="1:17" ht="3" customHeight="1" x14ac:dyDescent="0.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1.4" customHeight="1" x14ac:dyDescent="0.3">
      <c r="A29" s="12" t="s">
        <v>84</v>
      </c>
      <c r="B29" s="12"/>
      <c r="C29" s="12"/>
      <c r="D29" s="12"/>
      <c r="E29" s="12"/>
      <c r="F29" s="12"/>
      <c r="G29" s="12"/>
      <c r="H29" s="1" t="s">
        <v>64</v>
      </c>
      <c r="I29" s="3"/>
      <c r="J29" s="3"/>
      <c r="K29" s="1" t="s">
        <v>63</v>
      </c>
      <c r="L29" s="2" t="s">
        <v>79</v>
      </c>
      <c r="M29" s="2" t="s">
        <v>80</v>
      </c>
      <c r="N29" s="2" t="s">
        <v>81</v>
      </c>
      <c r="O29" s="2" t="s">
        <v>82</v>
      </c>
      <c r="P29" s="2" t="s">
        <v>83</v>
      </c>
      <c r="Q29" s="3"/>
    </row>
    <row r="30" spans="1:17" ht="11.4" customHeight="1" x14ac:dyDescent="0.3">
      <c r="A30" s="11" t="s">
        <v>70</v>
      </c>
      <c r="B30" s="11"/>
      <c r="C30" s="11"/>
      <c r="D30" s="11"/>
      <c r="E30" s="11"/>
      <c r="F30" s="11"/>
      <c r="G30" s="11"/>
      <c r="H30" s="7" t="s">
        <v>54</v>
      </c>
      <c r="I30" s="3"/>
      <c r="J30" s="3"/>
      <c r="K30" s="7">
        <f t="shared" ref="K30:P30" si="0">SUM(C2:C27)</f>
        <v>0</v>
      </c>
      <c r="L30" s="7">
        <f t="shared" si="0"/>
        <v>0</v>
      </c>
      <c r="M30" s="7">
        <f t="shared" si="0"/>
        <v>0</v>
      </c>
      <c r="N30" s="7">
        <f t="shared" si="0"/>
        <v>17</v>
      </c>
      <c r="O30" s="7">
        <f t="shared" si="0"/>
        <v>17</v>
      </c>
      <c r="P30" s="7">
        <f t="shared" si="0"/>
        <v>18</v>
      </c>
      <c r="Q30" s="3"/>
    </row>
    <row r="31" spans="1:17" ht="11.4" customHeight="1" x14ac:dyDescent="0.3">
      <c r="A31" s="11" t="s">
        <v>71</v>
      </c>
      <c r="B31" s="11"/>
      <c r="C31" s="11"/>
      <c r="D31" s="11"/>
      <c r="E31" s="11"/>
      <c r="F31" s="11"/>
      <c r="G31" s="11"/>
      <c r="H31" s="7" t="s">
        <v>55</v>
      </c>
      <c r="I31" s="3"/>
      <c r="J31" s="3"/>
      <c r="K31" s="7">
        <f t="shared" ref="K31:P31" si="1">SUM(L2:L27)</f>
        <v>0</v>
      </c>
      <c r="L31" s="7">
        <f t="shared" si="1"/>
        <v>0</v>
      </c>
      <c r="M31" s="7">
        <f t="shared" si="1"/>
        <v>0</v>
      </c>
      <c r="N31" s="7">
        <f t="shared" si="1"/>
        <v>25</v>
      </c>
      <c r="O31" s="7">
        <f t="shared" si="1"/>
        <v>25</v>
      </c>
      <c r="P31" s="7">
        <f t="shared" si="1"/>
        <v>25</v>
      </c>
      <c r="Q31" s="3"/>
    </row>
    <row r="32" spans="1:17" ht="11.4" customHeight="1" x14ac:dyDescent="0.3">
      <c r="A32" s="11" t="s">
        <v>72</v>
      </c>
      <c r="B32" s="11"/>
      <c r="C32" s="11"/>
      <c r="D32" s="11"/>
      <c r="E32" s="11"/>
      <c r="F32" s="11"/>
      <c r="G32" s="11"/>
      <c r="H32" s="7" t="s">
        <v>56</v>
      </c>
      <c r="I32" s="3"/>
      <c r="J32" s="3"/>
      <c r="K32" s="7">
        <f>26 - (K31)</f>
        <v>26</v>
      </c>
      <c r="L32" s="7">
        <f t="shared" ref="L32:P32" si="2">26 - (L31)</f>
        <v>26</v>
      </c>
      <c r="M32" s="7">
        <f t="shared" si="2"/>
        <v>26</v>
      </c>
      <c r="N32" s="7">
        <f t="shared" si="2"/>
        <v>1</v>
      </c>
      <c r="O32" s="7">
        <f t="shared" si="2"/>
        <v>1</v>
      </c>
      <c r="P32" s="7">
        <f t="shared" si="2"/>
        <v>1</v>
      </c>
      <c r="Q32" s="3"/>
    </row>
    <row r="33" spans="1:17" ht="11.4" customHeight="1" x14ac:dyDescent="0.3">
      <c r="A33" s="11" t="s">
        <v>71</v>
      </c>
      <c r="B33" s="11"/>
      <c r="C33" s="11"/>
      <c r="D33" s="11"/>
      <c r="E33" s="11"/>
      <c r="F33" s="11"/>
      <c r="G33" s="11"/>
      <c r="H33" s="7" t="s">
        <v>57</v>
      </c>
      <c r="I33" s="3"/>
      <c r="J33" s="3"/>
      <c r="K33" s="7">
        <f>26 - (K30)</f>
        <v>26</v>
      </c>
      <c r="L33" s="7">
        <f t="shared" ref="L33:P33" si="3">26 - (L30)</f>
        <v>26</v>
      </c>
      <c r="M33" s="7">
        <f t="shared" si="3"/>
        <v>26</v>
      </c>
      <c r="N33" s="7">
        <f t="shared" si="3"/>
        <v>9</v>
      </c>
      <c r="O33" s="7">
        <f t="shared" si="3"/>
        <v>9</v>
      </c>
      <c r="P33" s="7">
        <f t="shared" si="3"/>
        <v>8</v>
      </c>
      <c r="Q33" s="3"/>
    </row>
    <row r="34" spans="1:17" ht="11.4" customHeight="1" x14ac:dyDescent="0.3">
      <c r="A34" s="13" t="s">
        <v>73</v>
      </c>
      <c r="B34" s="13"/>
      <c r="C34" s="13"/>
      <c r="D34" s="13"/>
      <c r="E34" s="13"/>
      <c r="F34" s="13"/>
      <c r="G34" s="13"/>
      <c r="H34" s="8" t="s">
        <v>58</v>
      </c>
      <c r="I34" s="3"/>
      <c r="J34" s="3"/>
      <c r="K34" s="8">
        <f t="shared" ref="K34:P34" si="4">SUM(K30:K31)</f>
        <v>0</v>
      </c>
      <c r="L34" s="8">
        <f t="shared" si="4"/>
        <v>0</v>
      </c>
      <c r="M34" s="8">
        <f t="shared" si="4"/>
        <v>0</v>
      </c>
      <c r="N34" s="8">
        <f t="shared" si="4"/>
        <v>42</v>
      </c>
      <c r="O34" s="8">
        <f t="shared" si="4"/>
        <v>42</v>
      </c>
      <c r="P34" s="8">
        <f t="shared" si="4"/>
        <v>43</v>
      </c>
      <c r="Q34" s="3"/>
    </row>
    <row r="35" spans="1:17" ht="11.4" customHeight="1" x14ac:dyDescent="0.3">
      <c r="A35" s="13" t="s">
        <v>74</v>
      </c>
      <c r="B35" s="13"/>
      <c r="C35" s="13"/>
      <c r="D35" s="13"/>
      <c r="E35" s="13"/>
      <c r="F35" s="13"/>
      <c r="G35" s="13"/>
      <c r="H35" s="8" t="s">
        <v>59</v>
      </c>
      <c r="I35" s="3"/>
      <c r="J35" s="3"/>
      <c r="K35" s="8">
        <f t="shared" ref="K35:P35" si="5">SUM(K32:K33)</f>
        <v>52</v>
      </c>
      <c r="L35" s="8">
        <f t="shared" si="5"/>
        <v>52</v>
      </c>
      <c r="M35" s="8">
        <f t="shared" si="5"/>
        <v>52</v>
      </c>
      <c r="N35" s="8">
        <f t="shared" si="5"/>
        <v>10</v>
      </c>
      <c r="O35" s="8">
        <f t="shared" si="5"/>
        <v>10</v>
      </c>
      <c r="P35" s="8">
        <f t="shared" si="5"/>
        <v>9</v>
      </c>
      <c r="Q35" s="3"/>
    </row>
    <row r="36" spans="1:17" ht="11.4" customHeight="1" x14ac:dyDescent="0.3">
      <c r="A36" s="13" t="s">
        <v>75</v>
      </c>
      <c r="B36" s="13"/>
      <c r="C36" s="13"/>
      <c r="D36" s="13"/>
      <c r="E36" s="13"/>
      <c r="F36" s="13"/>
      <c r="G36" s="13"/>
      <c r="H36" s="8" t="s">
        <v>1</v>
      </c>
      <c r="I36" s="3"/>
      <c r="J36" s="3"/>
      <c r="K36" s="9">
        <f t="shared" ref="K36:P36" si="6">((K30 + K31))/((K30+K31+K32+K33))</f>
        <v>0</v>
      </c>
      <c r="L36" s="9">
        <f t="shared" si="6"/>
        <v>0</v>
      </c>
      <c r="M36" s="9">
        <f t="shared" si="6"/>
        <v>0</v>
      </c>
      <c r="N36" s="9">
        <f t="shared" si="6"/>
        <v>0.80769230769230771</v>
      </c>
      <c r="O36" s="9">
        <f t="shared" si="6"/>
        <v>0.80769230769230771</v>
      </c>
      <c r="P36" s="9">
        <f t="shared" si="6"/>
        <v>0.82692307692307687</v>
      </c>
      <c r="Q36" s="3"/>
    </row>
    <row r="37" spans="1:17" ht="11.4" customHeight="1" x14ac:dyDescent="0.3">
      <c r="A37" s="11" t="s">
        <v>76</v>
      </c>
      <c r="B37" s="11"/>
      <c r="C37" s="11"/>
      <c r="D37" s="11"/>
      <c r="E37" s="11"/>
      <c r="F37" s="11"/>
      <c r="G37" s="11"/>
      <c r="H37" s="7" t="s">
        <v>66</v>
      </c>
      <c r="I37" s="3"/>
      <c r="J37" s="3"/>
      <c r="K37" s="10">
        <f t="shared" ref="K37:P37" si="7">((K30))/(K30+K32)</f>
        <v>0</v>
      </c>
      <c r="L37" s="10">
        <f t="shared" si="7"/>
        <v>0</v>
      </c>
      <c r="M37" s="10">
        <f t="shared" si="7"/>
        <v>0</v>
      </c>
      <c r="N37" s="10">
        <f t="shared" si="7"/>
        <v>0.94444444444444442</v>
      </c>
      <c r="O37" s="10">
        <f t="shared" si="7"/>
        <v>0.94444444444444442</v>
      </c>
      <c r="P37" s="10">
        <f t="shared" si="7"/>
        <v>0.94736842105263153</v>
      </c>
      <c r="Q37" s="3"/>
    </row>
    <row r="38" spans="1:17" ht="11.4" customHeight="1" x14ac:dyDescent="0.3">
      <c r="A38" s="11" t="s">
        <v>77</v>
      </c>
      <c r="B38" s="11"/>
      <c r="C38" s="11"/>
      <c r="D38" s="11"/>
      <c r="E38" s="11"/>
      <c r="F38" s="11"/>
      <c r="G38" s="11"/>
      <c r="H38" s="7" t="s">
        <v>67</v>
      </c>
      <c r="I38" s="3"/>
      <c r="J38" s="3"/>
      <c r="K38" s="10">
        <f t="shared" ref="K38:P38" si="8">((K30))/(K30+K33)</f>
        <v>0</v>
      </c>
      <c r="L38" s="10">
        <f t="shared" si="8"/>
        <v>0</v>
      </c>
      <c r="M38" s="10">
        <f t="shared" si="8"/>
        <v>0</v>
      </c>
      <c r="N38" s="10">
        <f t="shared" si="8"/>
        <v>0.65384615384615385</v>
      </c>
      <c r="O38" s="10">
        <f t="shared" si="8"/>
        <v>0.65384615384615385</v>
      </c>
      <c r="P38" s="10">
        <f t="shared" si="8"/>
        <v>0.69230769230769229</v>
      </c>
      <c r="Q38" s="3"/>
    </row>
    <row r="39" spans="1:17" ht="11.4" customHeight="1" x14ac:dyDescent="0.3">
      <c r="A39" s="11" t="s">
        <v>78</v>
      </c>
      <c r="B39" s="11"/>
      <c r="C39" s="11"/>
      <c r="D39" s="11"/>
      <c r="E39" s="11"/>
      <c r="F39" s="11"/>
      <c r="G39" s="11"/>
      <c r="H39" s="7" t="s">
        <v>60</v>
      </c>
      <c r="I39" s="3"/>
      <c r="J39" s="3"/>
      <c r="K39" s="10">
        <f t="shared" ref="K39:P39" si="9">(K31)/(K31+K33)</f>
        <v>0</v>
      </c>
      <c r="L39" s="10">
        <f t="shared" si="9"/>
        <v>0</v>
      </c>
      <c r="M39" s="10">
        <f t="shared" si="9"/>
        <v>0</v>
      </c>
      <c r="N39" s="10">
        <f t="shared" si="9"/>
        <v>0.73529411764705888</v>
      </c>
      <c r="O39" s="10">
        <f t="shared" si="9"/>
        <v>0.73529411764705888</v>
      </c>
      <c r="P39" s="10">
        <f t="shared" si="9"/>
        <v>0.75757575757575757</v>
      </c>
      <c r="Q39" s="3"/>
    </row>
    <row r="40" spans="1:17" ht="11.4" customHeight="1" x14ac:dyDescent="0.3">
      <c r="A40" s="11" t="s">
        <v>69</v>
      </c>
      <c r="B40" s="11"/>
      <c r="C40" s="11"/>
      <c r="D40" s="11"/>
      <c r="E40" s="11"/>
      <c r="F40" s="11"/>
      <c r="G40" s="11"/>
      <c r="H40" s="7" t="s">
        <v>61</v>
      </c>
      <c r="I40" s="3"/>
      <c r="J40" s="3"/>
      <c r="K40" s="10" t="e">
        <f t="shared" ref="K40:P40" si="10">(2*(K37)*(K38))/(K37+K38)</f>
        <v>#DIV/0!</v>
      </c>
      <c r="L40" s="10" t="e">
        <f t="shared" si="10"/>
        <v>#DIV/0!</v>
      </c>
      <c r="M40" s="10" t="e">
        <f t="shared" si="10"/>
        <v>#DIV/0!</v>
      </c>
      <c r="N40" s="10">
        <f t="shared" si="10"/>
        <v>0.77272727272727271</v>
      </c>
      <c r="O40" s="10">
        <f t="shared" si="10"/>
        <v>0.77272727272727271</v>
      </c>
      <c r="P40" s="10">
        <f t="shared" si="10"/>
        <v>0.79999999999999993</v>
      </c>
      <c r="Q40" s="3"/>
    </row>
    <row r="41" spans="1:17" ht="11.4" customHeight="1" x14ac:dyDescent="0.3">
      <c r="A41" s="11" t="s">
        <v>68</v>
      </c>
      <c r="B41" s="11"/>
      <c r="C41" s="11"/>
      <c r="D41" s="11"/>
      <c r="E41" s="11"/>
      <c r="F41" s="11"/>
      <c r="G41" s="11"/>
      <c r="H41" s="7" t="s">
        <v>62</v>
      </c>
      <c r="I41" s="3"/>
      <c r="J41" s="3"/>
      <c r="K41" s="7">
        <f t="shared" ref="K41:P41" si="11" xml:space="preserve"> ROUND(((K30*K31) - (K32*K33))/(SQRT((K30+K32)*(K30+K33)*(K31+K32)*(K31+K33))),3)</f>
        <v>-1</v>
      </c>
      <c r="L41" s="7">
        <f t="shared" si="11"/>
        <v>-1</v>
      </c>
      <c r="M41" s="7">
        <f t="shared" si="11"/>
        <v>-1</v>
      </c>
      <c r="N41" s="7">
        <f t="shared" si="11"/>
        <v>0.64700000000000002</v>
      </c>
      <c r="O41" s="7">
        <f t="shared" si="11"/>
        <v>0.64700000000000002</v>
      </c>
      <c r="P41" s="7">
        <f t="shared" si="11"/>
        <v>0.67900000000000005</v>
      </c>
      <c r="Q41" s="3"/>
    </row>
  </sheetData>
  <mergeCells count="13">
    <mergeCell ref="A34:G34"/>
    <mergeCell ref="A29:G29"/>
    <mergeCell ref="A30:G30"/>
    <mergeCell ref="A31:G31"/>
    <mergeCell ref="A32:G32"/>
    <mergeCell ref="A33:G33"/>
    <mergeCell ref="A41:G41"/>
    <mergeCell ref="A35:G35"/>
    <mergeCell ref="A36:G36"/>
    <mergeCell ref="A37:G37"/>
    <mergeCell ref="A38:G38"/>
    <mergeCell ref="A39:G39"/>
    <mergeCell ref="A40:G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Full Interval</vt:lpstr>
      <vt:lpstr>Fingerprint Region</vt:lpstr>
      <vt:lpstr>High-frequency Region</vt:lpstr>
      <vt:lpstr>Double Interval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Emir Yarkın Yaman</dc:creator>
  <cp:lastModifiedBy>Emir Yarkın Yaman</cp:lastModifiedBy>
  <dcterms:created xsi:type="dcterms:W3CDTF">2015-06-05T18:17:20Z</dcterms:created>
  <dcterms:modified xsi:type="dcterms:W3CDTF">2026-02-19T13:57:49Z</dcterms:modified>
</cp:coreProperties>
</file>