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Interval" sheetId="1" r:id="rId4"/>
    <sheet state="visible" name="Fingerprint Region" sheetId="2" r:id="rId5"/>
    <sheet state="visible" name="High-frequency Region" sheetId="3" r:id="rId6"/>
    <sheet state="visible" name="Double Interval" sheetId="4" r:id="rId7"/>
  </sheets>
  <definedNames/>
  <calcPr/>
  <extLst>
    <ext uri="GoogleSheetsCustomDataVersion2">
      <go:sheetsCustomData xmlns:go="http://customooxmlschemas.google.com/" r:id="rId8" roundtripDataChecksum="0z5lqNG444SBe+3hRBZlurSEEnH7dCP7uYMugsq+40Q="/>
    </ext>
  </extLst>
</workbook>
</file>

<file path=xl/sharedStrings.xml><?xml version="1.0" encoding="utf-8"?>
<sst xmlns="http://schemas.openxmlformats.org/spreadsheetml/2006/main" count="608" uniqueCount="85">
  <si>
    <t>Id</t>
  </si>
  <si>
    <t>Label</t>
  </si>
  <si>
    <t>SVM-RBF</t>
  </si>
  <si>
    <t>SVM-POLY</t>
  </si>
  <si>
    <t>SVM-Linear</t>
  </si>
  <si>
    <t>kNN-Min.</t>
  </si>
  <si>
    <t>kNN-Euc.</t>
  </si>
  <si>
    <t>kNN-Cos.</t>
  </si>
  <si>
    <t>A1</t>
  </si>
  <si>
    <t>A</t>
  </si>
  <si>
    <t>H1</t>
  </si>
  <si>
    <t>H</t>
  </si>
  <si>
    <t>A10</t>
  </si>
  <si>
    <t>H10</t>
  </si>
  <si>
    <t>A11</t>
  </si>
  <si>
    <t>H10-3</t>
  </si>
  <si>
    <t>A12</t>
  </si>
  <si>
    <t>H12</t>
  </si>
  <si>
    <t>A14</t>
  </si>
  <si>
    <t>H13</t>
  </si>
  <si>
    <t>A17</t>
  </si>
  <si>
    <t>H14</t>
  </si>
  <si>
    <t>A18</t>
  </si>
  <si>
    <t>H14-1</t>
  </si>
  <si>
    <t>A19</t>
  </si>
  <si>
    <t>H16</t>
  </si>
  <si>
    <t>A21</t>
  </si>
  <si>
    <t>H18</t>
  </si>
  <si>
    <t>A22</t>
  </si>
  <si>
    <t>H2</t>
  </si>
  <si>
    <t>A23</t>
  </si>
  <si>
    <t>H2-1</t>
  </si>
  <si>
    <t>A24</t>
  </si>
  <si>
    <t>H22</t>
  </si>
  <si>
    <t>A25</t>
  </si>
  <si>
    <t>H2-3</t>
  </si>
  <si>
    <t>A27</t>
  </si>
  <si>
    <t>H24</t>
  </si>
  <si>
    <t>A28</t>
  </si>
  <si>
    <t>H25-2</t>
  </si>
  <si>
    <t>A29</t>
  </si>
  <si>
    <t>H26</t>
  </si>
  <si>
    <t>A3</t>
  </si>
  <si>
    <t>H38</t>
  </si>
  <si>
    <t>A30</t>
  </si>
  <si>
    <t>H39</t>
  </si>
  <si>
    <t>A32</t>
  </si>
  <si>
    <t>H4</t>
  </si>
  <si>
    <t>A33</t>
  </si>
  <si>
    <t>H40</t>
  </si>
  <si>
    <t>A34</t>
  </si>
  <si>
    <t>H5</t>
  </si>
  <si>
    <t>A35</t>
  </si>
  <si>
    <t>H6</t>
  </si>
  <si>
    <t>A5</t>
  </si>
  <si>
    <t>H6-3</t>
  </si>
  <si>
    <t>A7</t>
  </si>
  <si>
    <t>H7</t>
  </si>
  <si>
    <t>A8</t>
  </si>
  <si>
    <t>H9</t>
  </si>
  <si>
    <t>A9</t>
  </si>
  <si>
    <t>H9-2</t>
  </si>
  <si>
    <t>Parameter</t>
  </si>
  <si>
    <t>True Positivie</t>
  </si>
  <si>
    <t>TP</t>
  </si>
  <si>
    <t>False Negative</t>
  </si>
  <si>
    <t>TN</t>
  </si>
  <si>
    <t>False Positive</t>
  </si>
  <si>
    <t>FP</t>
  </si>
  <si>
    <t>FN</t>
  </si>
  <si>
    <t>Total Of True Prediction</t>
  </si>
  <si>
    <t>T</t>
  </si>
  <si>
    <t>Total Of False Prediction</t>
  </si>
  <si>
    <t>F</t>
  </si>
  <si>
    <t>Accuracy</t>
  </si>
  <si>
    <t>Recall (Precision)</t>
  </si>
  <si>
    <t>Recall</t>
  </si>
  <si>
    <t>Sensitivity (Positive Predictive)</t>
  </si>
  <si>
    <t>PPV</t>
  </si>
  <si>
    <t>Specificity (Negative Predictive)</t>
  </si>
  <si>
    <t>NPV</t>
  </si>
  <si>
    <t>F1 Score</t>
  </si>
  <si>
    <t>F1</t>
  </si>
  <si>
    <t>Matthew's Coefficient</t>
  </si>
  <si>
    <t>MCC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</si>
</sst>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7.0"/>
      <color theme="1"/>
      <name val="Aptos"/>
    </font>
    <font>
      <sz val="7.0"/>
      <color theme="1"/>
      <name val="Aptos"/>
    </font>
    <font/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 vertical="bottom"/>
    </xf>
    <xf borderId="2" fillId="2" fontId="1" numFmtId="49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1.0</v>
      </c>
      <c r="D2" s="4">
        <v>1.0</v>
      </c>
      <c r="E2" s="4">
        <v>1.0</v>
      </c>
      <c r="F2" s="4">
        <v>0.0</v>
      </c>
      <c r="G2" s="4">
        <v>0.0</v>
      </c>
      <c r="H2" s="4">
        <v>1.0</v>
      </c>
      <c r="I2" s="2"/>
      <c r="J2" s="3" t="s">
        <v>10</v>
      </c>
      <c r="K2" s="3" t="s">
        <v>11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1.0</v>
      </c>
      <c r="P5" s="4">
        <v>1.0</v>
      </c>
      <c r="Q5" s="4">
        <v>1.0</v>
      </c>
    </row>
    <row r="6" ht="7.5" customHeight="1">
      <c r="A6" s="3" t="s">
        <v>18</v>
      </c>
      <c r="B6" s="3" t="s">
        <v>9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1.0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1.0</v>
      </c>
      <c r="N9" s="4">
        <v>1.0</v>
      </c>
      <c r="O9" s="4">
        <v>0.0</v>
      </c>
      <c r="P9" s="4">
        <v>0.0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1.0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1.0</v>
      </c>
      <c r="E14" s="4">
        <v>1.0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1.0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1.0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1.0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1.0</v>
      </c>
      <c r="D17" s="4">
        <v>1.0</v>
      </c>
      <c r="E17" s="4">
        <v>1.0</v>
      </c>
      <c r="F17" s="4">
        <v>0.0</v>
      </c>
      <c r="G17" s="4">
        <v>0.0</v>
      </c>
      <c r="H17" s="4">
        <v>0.0</v>
      </c>
      <c r="I17" s="2"/>
      <c r="J17" s="3" t="s">
        <v>41</v>
      </c>
      <c r="K17" s="3" t="s">
        <v>11</v>
      </c>
      <c r="L17" s="4">
        <v>1.0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1.0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1.0</v>
      </c>
      <c r="E19" s="4">
        <v>1.0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0.0</v>
      </c>
      <c r="I21" s="2"/>
      <c r="J21" s="3" t="s">
        <v>49</v>
      </c>
      <c r="K21" s="3" t="s">
        <v>11</v>
      </c>
      <c r="L21" s="4">
        <v>1.0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1.0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1.0</v>
      </c>
      <c r="D23" s="4">
        <v>1.0</v>
      </c>
      <c r="E23" s="4">
        <v>1.0</v>
      </c>
      <c r="F23" s="4">
        <v>0.0</v>
      </c>
      <c r="G23" s="4">
        <v>0.0</v>
      </c>
      <c r="H23" s="4">
        <v>1.0</v>
      </c>
      <c r="I23" s="2"/>
      <c r="J23" s="3" t="s">
        <v>53</v>
      </c>
      <c r="K23" s="3" t="s">
        <v>11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1.0</v>
      </c>
      <c r="E24" s="4">
        <v>1.0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0.0</v>
      </c>
    </row>
    <row r="26" ht="7.5" customHeight="1">
      <c r="A26" s="3" t="s">
        <v>58</v>
      </c>
      <c r="B26" s="3" t="s">
        <v>9</v>
      </c>
      <c r="C26" s="4">
        <v>1.0</v>
      </c>
      <c r="D26" s="4">
        <v>1.0</v>
      </c>
      <c r="E26" s="4">
        <v>1.0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6" t="s">
        <v>62</v>
      </c>
      <c r="B29" s="7"/>
      <c r="C29" s="7"/>
      <c r="D29" s="7"/>
      <c r="E29" s="7"/>
      <c r="F29" s="7"/>
      <c r="G29" s="8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9" t="s">
        <v>63</v>
      </c>
      <c r="B30" s="7"/>
      <c r="C30" s="7"/>
      <c r="D30" s="7"/>
      <c r="E30" s="7"/>
      <c r="F30" s="7"/>
      <c r="G30" s="8"/>
      <c r="H30" s="10" t="s">
        <v>64</v>
      </c>
      <c r="I30" s="2"/>
      <c r="J30" s="2"/>
      <c r="K30" s="10">
        <f t="shared" ref="K30:P30" si="1">SUM(C2:C27)</f>
        <v>20</v>
      </c>
      <c r="L30" s="10">
        <f t="shared" si="1"/>
        <v>23</v>
      </c>
      <c r="M30" s="10">
        <f t="shared" si="1"/>
        <v>23</v>
      </c>
      <c r="N30" s="10">
        <f t="shared" si="1"/>
        <v>17</v>
      </c>
      <c r="O30" s="10">
        <f t="shared" si="1"/>
        <v>17</v>
      </c>
      <c r="P30" s="10">
        <f t="shared" si="1"/>
        <v>18</v>
      </c>
      <c r="Q30" s="2"/>
    </row>
    <row r="31" ht="7.5" customHeight="1">
      <c r="A31" s="9" t="s">
        <v>65</v>
      </c>
      <c r="B31" s="7"/>
      <c r="C31" s="7"/>
      <c r="D31" s="7"/>
      <c r="E31" s="7"/>
      <c r="F31" s="7"/>
      <c r="G31" s="8"/>
      <c r="H31" s="10" t="s">
        <v>66</v>
      </c>
      <c r="I31" s="2"/>
      <c r="J31" s="2"/>
      <c r="K31" s="10">
        <f t="shared" ref="K31:P31" si="2">SUM(L2:L27)</f>
        <v>24</v>
      </c>
      <c r="L31" s="10">
        <f t="shared" si="2"/>
        <v>25</v>
      </c>
      <c r="M31" s="10">
        <f t="shared" si="2"/>
        <v>25</v>
      </c>
      <c r="N31" s="10">
        <f t="shared" si="2"/>
        <v>25</v>
      </c>
      <c r="O31" s="10">
        <f t="shared" si="2"/>
        <v>25</v>
      </c>
      <c r="P31" s="10">
        <f t="shared" si="2"/>
        <v>25</v>
      </c>
      <c r="Q31" s="2"/>
    </row>
    <row r="32" ht="7.5" customHeight="1">
      <c r="A32" s="9" t="s">
        <v>67</v>
      </c>
      <c r="B32" s="7"/>
      <c r="C32" s="7"/>
      <c r="D32" s="7"/>
      <c r="E32" s="7"/>
      <c r="F32" s="7"/>
      <c r="G32" s="8"/>
      <c r="H32" s="10" t="s">
        <v>68</v>
      </c>
      <c r="I32" s="2"/>
      <c r="J32" s="2"/>
      <c r="K32" s="10">
        <f t="shared" ref="K32:P32" si="3">26 - (K31)</f>
        <v>2</v>
      </c>
      <c r="L32" s="10">
        <f t="shared" si="3"/>
        <v>1</v>
      </c>
      <c r="M32" s="10">
        <f t="shared" si="3"/>
        <v>1</v>
      </c>
      <c r="N32" s="10">
        <f t="shared" si="3"/>
        <v>1</v>
      </c>
      <c r="O32" s="10">
        <f t="shared" si="3"/>
        <v>1</v>
      </c>
      <c r="P32" s="10">
        <f t="shared" si="3"/>
        <v>1</v>
      </c>
      <c r="Q32" s="2"/>
    </row>
    <row r="33" ht="7.5" customHeight="1">
      <c r="A33" s="9" t="s">
        <v>65</v>
      </c>
      <c r="B33" s="7"/>
      <c r="C33" s="7"/>
      <c r="D33" s="7"/>
      <c r="E33" s="7"/>
      <c r="F33" s="7"/>
      <c r="G33" s="8"/>
      <c r="H33" s="10" t="s">
        <v>69</v>
      </c>
      <c r="I33" s="2"/>
      <c r="J33" s="2"/>
      <c r="K33" s="10">
        <f t="shared" ref="K33:P33" si="4">26 - (K30)</f>
        <v>6</v>
      </c>
      <c r="L33" s="10">
        <f t="shared" si="4"/>
        <v>3</v>
      </c>
      <c r="M33" s="10">
        <f t="shared" si="4"/>
        <v>3</v>
      </c>
      <c r="N33" s="10">
        <f t="shared" si="4"/>
        <v>9</v>
      </c>
      <c r="O33" s="10">
        <f t="shared" si="4"/>
        <v>9</v>
      </c>
      <c r="P33" s="10">
        <f t="shared" si="4"/>
        <v>8</v>
      </c>
      <c r="Q33" s="2"/>
    </row>
    <row r="34" ht="7.5" customHeight="1">
      <c r="A34" s="9" t="s">
        <v>70</v>
      </c>
      <c r="B34" s="7"/>
      <c r="C34" s="7"/>
      <c r="D34" s="7"/>
      <c r="E34" s="7"/>
      <c r="F34" s="7"/>
      <c r="G34" s="8"/>
      <c r="H34" s="10" t="s">
        <v>71</v>
      </c>
      <c r="I34" s="2"/>
      <c r="J34" s="2"/>
      <c r="K34" s="10">
        <f t="shared" ref="K34:P34" si="5">SUM(K30:K31)</f>
        <v>44</v>
      </c>
      <c r="L34" s="10">
        <f t="shared" si="5"/>
        <v>48</v>
      </c>
      <c r="M34" s="10">
        <f t="shared" si="5"/>
        <v>48</v>
      </c>
      <c r="N34" s="10">
        <f t="shared" si="5"/>
        <v>42</v>
      </c>
      <c r="O34" s="10">
        <f t="shared" si="5"/>
        <v>42</v>
      </c>
      <c r="P34" s="10">
        <f t="shared" si="5"/>
        <v>43</v>
      </c>
      <c r="Q34" s="2"/>
    </row>
    <row r="35" ht="7.5" customHeight="1">
      <c r="A35" s="9" t="s">
        <v>72</v>
      </c>
      <c r="B35" s="7"/>
      <c r="C35" s="7"/>
      <c r="D35" s="7"/>
      <c r="E35" s="7"/>
      <c r="F35" s="7"/>
      <c r="G35" s="8"/>
      <c r="H35" s="10" t="s">
        <v>73</v>
      </c>
      <c r="I35" s="2"/>
      <c r="J35" s="2"/>
      <c r="K35" s="10">
        <f t="shared" ref="K35:P35" si="6">SUM(K32:K33)</f>
        <v>8</v>
      </c>
      <c r="L35" s="10">
        <f t="shared" si="6"/>
        <v>4</v>
      </c>
      <c r="M35" s="10">
        <f t="shared" si="6"/>
        <v>4</v>
      </c>
      <c r="N35" s="10">
        <f t="shared" si="6"/>
        <v>10</v>
      </c>
      <c r="O35" s="10">
        <f t="shared" si="6"/>
        <v>10</v>
      </c>
      <c r="P35" s="10">
        <f t="shared" si="6"/>
        <v>9</v>
      </c>
      <c r="Q35" s="2"/>
    </row>
    <row r="36" ht="7.5" customHeight="1">
      <c r="A36" s="9" t="s">
        <v>74</v>
      </c>
      <c r="B36" s="7"/>
      <c r="C36" s="7"/>
      <c r="D36" s="7"/>
      <c r="E36" s="7"/>
      <c r="F36" s="7"/>
      <c r="G36" s="8"/>
      <c r="H36" s="10" t="s">
        <v>9</v>
      </c>
      <c r="I36" s="2"/>
      <c r="J36" s="2"/>
      <c r="K36" s="11">
        <f t="shared" ref="K36:P36" si="7">((K30 + K31))/((K30+K31+K32+K33))</f>
        <v>0.8461538462</v>
      </c>
      <c r="L36" s="11">
        <f t="shared" si="7"/>
        <v>0.9230769231</v>
      </c>
      <c r="M36" s="11">
        <f t="shared" si="7"/>
        <v>0.9230769231</v>
      </c>
      <c r="N36" s="11">
        <f t="shared" si="7"/>
        <v>0.8076923077</v>
      </c>
      <c r="O36" s="11">
        <f t="shared" si="7"/>
        <v>0.8076923077</v>
      </c>
      <c r="P36" s="11">
        <f t="shared" si="7"/>
        <v>0.8269230769</v>
      </c>
      <c r="Q36" s="2"/>
    </row>
    <row r="37" ht="7.5" customHeight="1">
      <c r="A37" s="9" t="s">
        <v>75</v>
      </c>
      <c r="B37" s="7"/>
      <c r="C37" s="7"/>
      <c r="D37" s="7"/>
      <c r="E37" s="7"/>
      <c r="F37" s="7"/>
      <c r="G37" s="8"/>
      <c r="H37" s="10" t="s">
        <v>76</v>
      </c>
      <c r="I37" s="2"/>
      <c r="J37" s="2"/>
      <c r="K37" s="11">
        <f t="shared" ref="K37:P37" si="8">((K30))/(K30+K32)</f>
        <v>0.9090909091</v>
      </c>
      <c r="L37" s="11">
        <f t="shared" si="8"/>
        <v>0.9583333333</v>
      </c>
      <c r="M37" s="11">
        <f t="shared" si="8"/>
        <v>0.9583333333</v>
      </c>
      <c r="N37" s="11">
        <f t="shared" si="8"/>
        <v>0.9444444444</v>
      </c>
      <c r="O37" s="11">
        <f t="shared" si="8"/>
        <v>0.9444444444</v>
      </c>
      <c r="P37" s="11">
        <f t="shared" si="8"/>
        <v>0.9473684211</v>
      </c>
      <c r="Q37" s="2"/>
    </row>
    <row r="38" ht="7.5" customHeight="1">
      <c r="A38" s="9" t="s">
        <v>77</v>
      </c>
      <c r="B38" s="7"/>
      <c r="C38" s="7"/>
      <c r="D38" s="7"/>
      <c r="E38" s="7"/>
      <c r="F38" s="7"/>
      <c r="G38" s="8"/>
      <c r="H38" s="10" t="s">
        <v>78</v>
      </c>
      <c r="I38" s="2"/>
      <c r="J38" s="2"/>
      <c r="K38" s="11">
        <f t="shared" ref="K38:P38" si="9">((K30))/(K30+K33)</f>
        <v>0.7692307692</v>
      </c>
      <c r="L38" s="11">
        <f t="shared" si="9"/>
        <v>0.8846153846</v>
      </c>
      <c r="M38" s="11">
        <f t="shared" si="9"/>
        <v>0.8846153846</v>
      </c>
      <c r="N38" s="11">
        <f t="shared" si="9"/>
        <v>0.6538461538</v>
      </c>
      <c r="O38" s="11">
        <f t="shared" si="9"/>
        <v>0.6538461538</v>
      </c>
      <c r="P38" s="11">
        <f t="shared" si="9"/>
        <v>0.6923076923</v>
      </c>
      <c r="Q38" s="2"/>
    </row>
    <row r="39" ht="7.5" customHeight="1">
      <c r="A39" s="9" t="s">
        <v>79</v>
      </c>
      <c r="B39" s="7"/>
      <c r="C39" s="7"/>
      <c r="D39" s="7"/>
      <c r="E39" s="7"/>
      <c r="F39" s="7"/>
      <c r="G39" s="8"/>
      <c r="H39" s="10" t="s">
        <v>80</v>
      </c>
      <c r="I39" s="2"/>
      <c r="J39" s="2"/>
      <c r="K39" s="11">
        <f t="shared" ref="K39:P39" si="10">(K31)/(K31+K33)</f>
        <v>0.8</v>
      </c>
      <c r="L39" s="11">
        <f t="shared" si="10"/>
        <v>0.8928571429</v>
      </c>
      <c r="M39" s="11">
        <f t="shared" si="10"/>
        <v>0.8928571429</v>
      </c>
      <c r="N39" s="11">
        <f t="shared" si="10"/>
        <v>0.7352941176</v>
      </c>
      <c r="O39" s="11">
        <f t="shared" si="10"/>
        <v>0.7352941176</v>
      </c>
      <c r="P39" s="11">
        <f t="shared" si="10"/>
        <v>0.7575757576</v>
      </c>
      <c r="Q39" s="2"/>
    </row>
    <row r="40" ht="7.5" customHeight="1">
      <c r="A40" s="9" t="s">
        <v>81</v>
      </c>
      <c r="B40" s="7"/>
      <c r="C40" s="7"/>
      <c r="D40" s="7"/>
      <c r="E40" s="7"/>
      <c r="F40" s="7"/>
      <c r="G40" s="8"/>
      <c r="H40" s="10" t="s">
        <v>82</v>
      </c>
      <c r="I40" s="2"/>
      <c r="J40" s="2"/>
      <c r="K40" s="11">
        <f t="shared" ref="K40:M40" si="11">(2*(K37)*(K38))/(K37+K38)</f>
        <v>0.8333333333</v>
      </c>
      <c r="L40" s="11">
        <f t="shared" si="11"/>
        <v>0.92</v>
      </c>
      <c r="M40" s="11">
        <f t="shared" si="11"/>
        <v>0.92</v>
      </c>
      <c r="N40" s="11">
        <f t="shared" ref="N40:P40" si="12">(2*(N37)*(N38))/(N37+N38)</f>
        <v>0.7727272727</v>
      </c>
      <c r="O40" s="11">
        <f t="shared" si="12"/>
        <v>0.7727272727</v>
      </c>
      <c r="P40" s="11">
        <f t="shared" si="12"/>
        <v>0.8</v>
      </c>
      <c r="Q40" s="2"/>
    </row>
    <row r="41" ht="7.5" customHeight="1">
      <c r="A41" s="9" t="s">
        <v>83</v>
      </c>
      <c r="B41" s="7"/>
      <c r="C41" s="7"/>
      <c r="D41" s="7"/>
      <c r="E41" s="7"/>
      <c r="F41" s="7"/>
      <c r="G41" s="8"/>
      <c r="H41" s="10" t="s">
        <v>84</v>
      </c>
      <c r="I41" s="2"/>
      <c r="J41" s="2"/>
      <c r="K41" s="10">
        <f t="shared" ref="K41:P41" si="13"> ROUND(((K30*K31) - (K32*K33))/(SQRT((K30+K32)*(K30+K33)*(K31+K32)*(K31+K33))),3)</f>
        <v>0.701</v>
      </c>
      <c r="L41" s="10">
        <f t="shared" si="13"/>
        <v>0.849</v>
      </c>
      <c r="M41" s="10">
        <f t="shared" si="13"/>
        <v>0.849</v>
      </c>
      <c r="N41" s="10">
        <f t="shared" si="13"/>
        <v>0.647</v>
      </c>
      <c r="O41" s="10">
        <f t="shared" si="13"/>
        <v>0.647</v>
      </c>
      <c r="P41" s="10">
        <f t="shared" si="13"/>
        <v>0.679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1.0</v>
      </c>
    </row>
    <row r="6" ht="7.5" customHeight="1">
      <c r="A6" s="3" t="s">
        <v>18</v>
      </c>
      <c r="B6" s="3" t="s">
        <v>9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0.0</v>
      </c>
      <c r="I8" s="2"/>
      <c r="J8" s="3" t="s">
        <v>23</v>
      </c>
      <c r="K8" s="3" t="s">
        <v>11</v>
      </c>
      <c r="L8" s="4">
        <v>1.0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1.0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1.0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1.0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  <c r="H16" s="4">
        <v>0.0</v>
      </c>
      <c r="I16" s="2"/>
      <c r="J16" s="3" t="s">
        <v>39</v>
      </c>
      <c r="K16" s="3" t="s">
        <v>11</v>
      </c>
      <c r="L16" s="4">
        <v>1.0</v>
      </c>
      <c r="M16" s="4">
        <v>1.0</v>
      </c>
      <c r="N16" s="4">
        <v>1.0</v>
      </c>
      <c r="O16" s="4">
        <v>0.0</v>
      </c>
      <c r="P16" s="4">
        <v>0.0</v>
      </c>
      <c r="Q16" s="4">
        <v>0.0</v>
      </c>
    </row>
    <row r="17" ht="7.5" customHeight="1">
      <c r="A17" s="3" t="s">
        <v>40</v>
      </c>
      <c r="B17" s="3" t="s">
        <v>9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  <c r="H17" s="4">
        <v>0.0</v>
      </c>
      <c r="I17" s="2"/>
      <c r="J17" s="3" t="s">
        <v>41</v>
      </c>
      <c r="K17" s="3" t="s">
        <v>11</v>
      </c>
      <c r="L17" s="4">
        <v>1.0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1.0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1.0</v>
      </c>
      <c r="D19" s="4">
        <v>1.0</v>
      </c>
      <c r="E19" s="4">
        <v>0.0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0.0</v>
      </c>
      <c r="I20" s="2"/>
      <c r="J20" s="3" t="s">
        <v>47</v>
      </c>
      <c r="K20" s="3" t="s">
        <v>11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1.0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1.0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1.0</v>
      </c>
      <c r="D23" s="4">
        <v>0.0</v>
      </c>
      <c r="E23" s="4">
        <v>1.0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1.0</v>
      </c>
      <c r="D26" s="4">
        <v>1.0</v>
      </c>
      <c r="E26" s="4">
        <v>1.0</v>
      </c>
      <c r="F26" s="4">
        <v>1.0</v>
      </c>
      <c r="G26" s="4">
        <v>1.0</v>
      </c>
      <c r="H26" s="4">
        <v>0.0</v>
      </c>
      <c r="I26" s="2"/>
      <c r="J26" s="3" t="s">
        <v>59</v>
      </c>
      <c r="K26" s="3" t="s">
        <v>11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6" t="s">
        <v>62</v>
      </c>
      <c r="B29" s="7"/>
      <c r="C29" s="7"/>
      <c r="D29" s="7"/>
      <c r="E29" s="7"/>
      <c r="F29" s="7"/>
      <c r="G29" s="8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9" t="s">
        <v>63</v>
      </c>
      <c r="B30" s="7"/>
      <c r="C30" s="7"/>
      <c r="D30" s="7"/>
      <c r="E30" s="7"/>
      <c r="F30" s="7"/>
      <c r="G30" s="8"/>
      <c r="H30" s="10" t="s">
        <v>64</v>
      </c>
      <c r="I30" s="2"/>
      <c r="J30" s="2"/>
      <c r="K30" s="10">
        <f t="shared" ref="K30:P30" si="1">SUM(C2:C27)</f>
        <v>21</v>
      </c>
      <c r="L30" s="10">
        <f t="shared" si="1"/>
        <v>20</v>
      </c>
      <c r="M30" s="10">
        <f t="shared" si="1"/>
        <v>20</v>
      </c>
      <c r="N30" s="10">
        <f t="shared" si="1"/>
        <v>20</v>
      </c>
      <c r="O30" s="10">
        <f t="shared" si="1"/>
        <v>20</v>
      </c>
      <c r="P30" s="10">
        <f t="shared" si="1"/>
        <v>15</v>
      </c>
      <c r="Q30" s="2"/>
    </row>
    <row r="31" ht="7.5" customHeight="1">
      <c r="A31" s="9" t="s">
        <v>65</v>
      </c>
      <c r="B31" s="7"/>
      <c r="C31" s="7"/>
      <c r="D31" s="7"/>
      <c r="E31" s="7"/>
      <c r="F31" s="7"/>
      <c r="G31" s="8"/>
      <c r="H31" s="10" t="s">
        <v>66</v>
      </c>
      <c r="I31" s="2"/>
      <c r="J31" s="2"/>
      <c r="K31" s="10">
        <f t="shared" ref="K31:P31" si="2">SUM(L2:L27)</f>
        <v>24</v>
      </c>
      <c r="L31" s="10">
        <f t="shared" si="2"/>
        <v>24</v>
      </c>
      <c r="M31" s="10">
        <f t="shared" si="2"/>
        <v>24</v>
      </c>
      <c r="N31" s="10">
        <f t="shared" si="2"/>
        <v>23</v>
      </c>
      <c r="O31" s="10">
        <f t="shared" si="2"/>
        <v>23</v>
      </c>
      <c r="P31" s="10">
        <f t="shared" si="2"/>
        <v>25</v>
      </c>
      <c r="Q31" s="2"/>
    </row>
    <row r="32" ht="7.5" customHeight="1">
      <c r="A32" s="9" t="s">
        <v>67</v>
      </c>
      <c r="B32" s="7"/>
      <c r="C32" s="7"/>
      <c r="D32" s="7"/>
      <c r="E32" s="7"/>
      <c r="F32" s="7"/>
      <c r="G32" s="8"/>
      <c r="H32" s="10" t="s">
        <v>68</v>
      </c>
      <c r="I32" s="2"/>
      <c r="J32" s="2"/>
      <c r="K32" s="10">
        <f t="shared" ref="K32:P32" si="3">26 - (K31)</f>
        <v>2</v>
      </c>
      <c r="L32" s="10">
        <f t="shared" si="3"/>
        <v>2</v>
      </c>
      <c r="M32" s="10">
        <f t="shared" si="3"/>
        <v>2</v>
      </c>
      <c r="N32" s="10">
        <f t="shared" si="3"/>
        <v>3</v>
      </c>
      <c r="O32" s="10">
        <f t="shared" si="3"/>
        <v>3</v>
      </c>
      <c r="P32" s="10">
        <f t="shared" si="3"/>
        <v>1</v>
      </c>
      <c r="Q32" s="2"/>
    </row>
    <row r="33" ht="7.5" customHeight="1">
      <c r="A33" s="9" t="s">
        <v>65</v>
      </c>
      <c r="B33" s="7"/>
      <c r="C33" s="7"/>
      <c r="D33" s="7"/>
      <c r="E33" s="7"/>
      <c r="F33" s="7"/>
      <c r="G33" s="8"/>
      <c r="H33" s="10" t="s">
        <v>69</v>
      </c>
      <c r="I33" s="2"/>
      <c r="J33" s="2"/>
      <c r="K33" s="10">
        <f t="shared" ref="K33:P33" si="4">26 - (K30)</f>
        <v>5</v>
      </c>
      <c r="L33" s="10">
        <f t="shared" si="4"/>
        <v>6</v>
      </c>
      <c r="M33" s="10">
        <f t="shared" si="4"/>
        <v>6</v>
      </c>
      <c r="N33" s="10">
        <f t="shared" si="4"/>
        <v>6</v>
      </c>
      <c r="O33" s="10">
        <f t="shared" si="4"/>
        <v>6</v>
      </c>
      <c r="P33" s="10">
        <f t="shared" si="4"/>
        <v>11</v>
      </c>
      <c r="Q33" s="2"/>
    </row>
    <row r="34" ht="7.5" customHeight="1">
      <c r="A34" s="9" t="s">
        <v>70</v>
      </c>
      <c r="B34" s="7"/>
      <c r="C34" s="7"/>
      <c r="D34" s="7"/>
      <c r="E34" s="7"/>
      <c r="F34" s="7"/>
      <c r="G34" s="8"/>
      <c r="H34" s="10" t="s">
        <v>71</v>
      </c>
      <c r="I34" s="2"/>
      <c r="J34" s="2"/>
      <c r="K34" s="10">
        <f t="shared" ref="K34:P34" si="5">SUM(K30:K31)</f>
        <v>45</v>
      </c>
      <c r="L34" s="10">
        <f t="shared" si="5"/>
        <v>44</v>
      </c>
      <c r="M34" s="10">
        <f t="shared" si="5"/>
        <v>44</v>
      </c>
      <c r="N34" s="10">
        <f t="shared" si="5"/>
        <v>43</v>
      </c>
      <c r="O34" s="10">
        <f t="shared" si="5"/>
        <v>43</v>
      </c>
      <c r="P34" s="10">
        <f t="shared" si="5"/>
        <v>40</v>
      </c>
      <c r="Q34" s="2"/>
    </row>
    <row r="35" ht="7.5" customHeight="1">
      <c r="A35" s="9" t="s">
        <v>72</v>
      </c>
      <c r="B35" s="7"/>
      <c r="C35" s="7"/>
      <c r="D35" s="7"/>
      <c r="E35" s="7"/>
      <c r="F35" s="7"/>
      <c r="G35" s="8"/>
      <c r="H35" s="10" t="s">
        <v>73</v>
      </c>
      <c r="I35" s="2"/>
      <c r="J35" s="2"/>
      <c r="K35" s="10">
        <f t="shared" ref="K35:P35" si="6">SUM(K32:K33)</f>
        <v>7</v>
      </c>
      <c r="L35" s="10">
        <f t="shared" si="6"/>
        <v>8</v>
      </c>
      <c r="M35" s="10">
        <f t="shared" si="6"/>
        <v>8</v>
      </c>
      <c r="N35" s="10">
        <f t="shared" si="6"/>
        <v>9</v>
      </c>
      <c r="O35" s="10">
        <f t="shared" si="6"/>
        <v>9</v>
      </c>
      <c r="P35" s="10">
        <f t="shared" si="6"/>
        <v>12</v>
      </c>
      <c r="Q35" s="2"/>
    </row>
    <row r="36" ht="7.5" customHeight="1">
      <c r="A36" s="9" t="s">
        <v>74</v>
      </c>
      <c r="B36" s="7"/>
      <c r="C36" s="7"/>
      <c r="D36" s="7"/>
      <c r="E36" s="7"/>
      <c r="F36" s="7"/>
      <c r="G36" s="8"/>
      <c r="H36" s="10" t="s">
        <v>9</v>
      </c>
      <c r="I36" s="2"/>
      <c r="J36" s="2"/>
      <c r="K36" s="11">
        <f t="shared" ref="K36:P36" si="7">((K30 + K31))/((K30+K31+K32+K33))</f>
        <v>0.8653846154</v>
      </c>
      <c r="L36" s="11">
        <f t="shared" si="7"/>
        <v>0.8461538462</v>
      </c>
      <c r="M36" s="11">
        <f t="shared" si="7"/>
        <v>0.8461538462</v>
      </c>
      <c r="N36" s="11">
        <f t="shared" si="7"/>
        <v>0.8269230769</v>
      </c>
      <c r="O36" s="11">
        <f t="shared" si="7"/>
        <v>0.8269230769</v>
      </c>
      <c r="P36" s="11">
        <f t="shared" si="7"/>
        <v>0.7692307692</v>
      </c>
      <c r="Q36" s="2"/>
    </row>
    <row r="37" ht="7.5" customHeight="1">
      <c r="A37" s="9" t="s">
        <v>75</v>
      </c>
      <c r="B37" s="7"/>
      <c r="C37" s="7"/>
      <c r="D37" s="7"/>
      <c r="E37" s="7"/>
      <c r="F37" s="7"/>
      <c r="G37" s="8"/>
      <c r="H37" s="10" t="s">
        <v>76</v>
      </c>
      <c r="I37" s="2"/>
      <c r="J37" s="2"/>
      <c r="K37" s="11">
        <f t="shared" ref="K37:P37" si="8">((K30))/(K30+K32)</f>
        <v>0.9130434783</v>
      </c>
      <c r="L37" s="11">
        <f t="shared" si="8"/>
        <v>0.9090909091</v>
      </c>
      <c r="M37" s="11">
        <f t="shared" si="8"/>
        <v>0.9090909091</v>
      </c>
      <c r="N37" s="11">
        <f t="shared" si="8"/>
        <v>0.8695652174</v>
      </c>
      <c r="O37" s="11">
        <f t="shared" si="8"/>
        <v>0.8695652174</v>
      </c>
      <c r="P37" s="11">
        <f t="shared" si="8"/>
        <v>0.9375</v>
      </c>
      <c r="Q37" s="2"/>
    </row>
    <row r="38" ht="7.5" customHeight="1">
      <c r="A38" s="9" t="s">
        <v>77</v>
      </c>
      <c r="B38" s="7"/>
      <c r="C38" s="7"/>
      <c r="D38" s="7"/>
      <c r="E38" s="7"/>
      <c r="F38" s="7"/>
      <c r="G38" s="8"/>
      <c r="H38" s="10" t="s">
        <v>78</v>
      </c>
      <c r="I38" s="2"/>
      <c r="J38" s="2"/>
      <c r="K38" s="11">
        <f t="shared" ref="K38:P38" si="9">((K30))/(K30+K33)</f>
        <v>0.8076923077</v>
      </c>
      <c r="L38" s="11">
        <f t="shared" si="9"/>
        <v>0.7692307692</v>
      </c>
      <c r="M38" s="11">
        <f t="shared" si="9"/>
        <v>0.7692307692</v>
      </c>
      <c r="N38" s="11">
        <f t="shared" si="9"/>
        <v>0.7692307692</v>
      </c>
      <c r="O38" s="11">
        <f t="shared" si="9"/>
        <v>0.7692307692</v>
      </c>
      <c r="P38" s="11">
        <f t="shared" si="9"/>
        <v>0.5769230769</v>
      </c>
      <c r="Q38" s="2"/>
    </row>
    <row r="39" ht="7.5" customHeight="1">
      <c r="A39" s="9" t="s">
        <v>79</v>
      </c>
      <c r="B39" s="7"/>
      <c r="C39" s="7"/>
      <c r="D39" s="7"/>
      <c r="E39" s="7"/>
      <c r="F39" s="7"/>
      <c r="G39" s="8"/>
      <c r="H39" s="10" t="s">
        <v>80</v>
      </c>
      <c r="I39" s="2"/>
      <c r="J39" s="2"/>
      <c r="K39" s="11">
        <f t="shared" ref="K39:P39" si="10">(K31)/(K31+K33)</f>
        <v>0.8275862069</v>
      </c>
      <c r="L39" s="11">
        <f t="shared" si="10"/>
        <v>0.8</v>
      </c>
      <c r="M39" s="11">
        <f t="shared" si="10"/>
        <v>0.8</v>
      </c>
      <c r="N39" s="11">
        <f t="shared" si="10"/>
        <v>0.7931034483</v>
      </c>
      <c r="O39" s="11">
        <f t="shared" si="10"/>
        <v>0.7931034483</v>
      </c>
      <c r="P39" s="11">
        <f t="shared" si="10"/>
        <v>0.6944444444</v>
      </c>
      <c r="Q39" s="2"/>
    </row>
    <row r="40" ht="7.5" customHeight="1">
      <c r="A40" s="9" t="s">
        <v>81</v>
      </c>
      <c r="B40" s="7"/>
      <c r="C40" s="7"/>
      <c r="D40" s="7"/>
      <c r="E40" s="7"/>
      <c r="F40" s="7"/>
      <c r="G40" s="8"/>
      <c r="H40" s="10" t="s">
        <v>82</v>
      </c>
      <c r="I40" s="2"/>
      <c r="J40" s="2"/>
      <c r="K40" s="11">
        <f t="shared" ref="K40:M40" si="11">(2*(K37)*(K38))/(K37+K38)</f>
        <v>0.8571428571</v>
      </c>
      <c r="L40" s="11">
        <f t="shared" si="11"/>
        <v>0.8333333333</v>
      </c>
      <c r="M40" s="11">
        <f t="shared" si="11"/>
        <v>0.8333333333</v>
      </c>
      <c r="N40" s="11">
        <f t="shared" ref="N40:P40" si="12">(2*(N37)*(N38))/(N37+N38)</f>
        <v>0.8163265306</v>
      </c>
      <c r="O40" s="11">
        <f t="shared" si="12"/>
        <v>0.8163265306</v>
      </c>
      <c r="P40" s="11">
        <f t="shared" si="12"/>
        <v>0.7142857143</v>
      </c>
      <c r="Q40" s="2"/>
    </row>
    <row r="41" ht="7.5" customHeight="1">
      <c r="A41" s="9" t="s">
        <v>83</v>
      </c>
      <c r="B41" s="7"/>
      <c r="C41" s="7"/>
      <c r="D41" s="7"/>
      <c r="E41" s="7"/>
      <c r="F41" s="7"/>
      <c r="G41" s="8"/>
      <c r="H41" s="10" t="s">
        <v>84</v>
      </c>
      <c r="I41" s="2"/>
      <c r="J41" s="2"/>
      <c r="K41" s="10">
        <f t="shared" ref="K41:P41" si="13"> ROUND(((K30*K31) - (K32*K33))/(SQRT((K30+K32)*(K30+K33)*(K31+K32)*(K31+K33))),3)</f>
        <v>0.736</v>
      </c>
      <c r="L41" s="10">
        <f t="shared" si="13"/>
        <v>0.701</v>
      </c>
      <c r="M41" s="10">
        <f t="shared" si="13"/>
        <v>0.701</v>
      </c>
      <c r="N41" s="10">
        <f t="shared" si="13"/>
        <v>0.658</v>
      </c>
      <c r="O41" s="10">
        <f t="shared" si="13"/>
        <v>0.658</v>
      </c>
      <c r="P41" s="10">
        <f t="shared" si="13"/>
        <v>0.583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1.0</v>
      </c>
      <c r="P5" s="4">
        <v>1.0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1.0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1.0</v>
      </c>
      <c r="E13" s="4">
        <v>1.0</v>
      </c>
      <c r="F13" s="4">
        <v>0.0</v>
      </c>
      <c r="G13" s="4">
        <v>0.0</v>
      </c>
      <c r="H13" s="4">
        <v>0.0</v>
      </c>
      <c r="I13" s="2"/>
      <c r="J13" s="3" t="s">
        <v>33</v>
      </c>
      <c r="K13" s="3" t="s">
        <v>11</v>
      </c>
      <c r="L13" s="4">
        <v>0.0</v>
      </c>
      <c r="M13" s="4">
        <v>1.0</v>
      </c>
      <c r="N13" s="4">
        <v>1.0</v>
      </c>
      <c r="O13" s="4">
        <v>1.0</v>
      </c>
      <c r="P13" s="4">
        <v>1.0</v>
      </c>
      <c r="Q13" s="4">
        <v>0.0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1.0</v>
      </c>
      <c r="E16" s="4">
        <v>1.0</v>
      </c>
      <c r="F16" s="4">
        <v>1.0</v>
      </c>
      <c r="G16" s="4">
        <v>1.0</v>
      </c>
      <c r="H16" s="4">
        <v>0.0</v>
      </c>
      <c r="I16" s="2"/>
      <c r="J16" s="3" t="s">
        <v>39</v>
      </c>
      <c r="K16" s="3" t="s">
        <v>11</v>
      </c>
      <c r="L16" s="4">
        <v>0.0</v>
      </c>
      <c r="M16" s="4">
        <v>1.0</v>
      </c>
      <c r="N16" s="4">
        <v>1.0</v>
      </c>
      <c r="O16" s="4">
        <v>0.0</v>
      </c>
      <c r="P16" s="4">
        <v>0.0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1.0</v>
      </c>
      <c r="E17" s="4">
        <v>1.0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1.0</v>
      </c>
      <c r="E19" s="4">
        <v>1.0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1.0</v>
      </c>
      <c r="E20" s="4">
        <v>1.0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1.0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1.0</v>
      </c>
      <c r="E21" s="4">
        <v>1.0</v>
      </c>
      <c r="F21" s="4">
        <v>0.0</v>
      </c>
      <c r="G21" s="4">
        <v>0.0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1.0</v>
      </c>
      <c r="E24" s="4">
        <v>1.0</v>
      </c>
      <c r="F24" s="4">
        <v>1.0</v>
      </c>
      <c r="G24" s="4">
        <v>1.0</v>
      </c>
      <c r="H24" s="4">
        <v>1.0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1.0</v>
      </c>
      <c r="E26" s="4">
        <v>1.0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6" t="s">
        <v>62</v>
      </c>
      <c r="B29" s="7"/>
      <c r="C29" s="7"/>
      <c r="D29" s="7"/>
      <c r="E29" s="7"/>
      <c r="F29" s="7"/>
      <c r="G29" s="8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9" t="s">
        <v>63</v>
      </c>
      <c r="B30" s="7"/>
      <c r="C30" s="7"/>
      <c r="D30" s="7"/>
      <c r="E30" s="7"/>
      <c r="F30" s="7"/>
      <c r="G30" s="8"/>
      <c r="H30" s="10" t="s">
        <v>64</v>
      </c>
      <c r="I30" s="2"/>
      <c r="J30" s="2"/>
      <c r="K30" s="10">
        <f t="shared" ref="K30:P30" si="1">SUM(C2:C27)</f>
        <v>0</v>
      </c>
      <c r="L30" s="10">
        <f t="shared" si="1"/>
        <v>22</v>
      </c>
      <c r="M30" s="10">
        <f t="shared" si="1"/>
        <v>20</v>
      </c>
      <c r="N30" s="10">
        <f t="shared" si="1"/>
        <v>17</v>
      </c>
      <c r="O30" s="10">
        <f t="shared" si="1"/>
        <v>17</v>
      </c>
      <c r="P30" s="10">
        <f t="shared" si="1"/>
        <v>18</v>
      </c>
      <c r="Q30" s="2"/>
    </row>
    <row r="31" ht="7.5" customHeight="1">
      <c r="A31" s="9" t="s">
        <v>65</v>
      </c>
      <c r="B31" s="7"/>
      <c r="C31" s="7"/>
      <c r="D31" s="7"/>
      <c r="E31" s="7"/>
      <c r="F31" s="7"/>
      <c r="G31" s="8"/>
      <c r="H31" s="10" t="s">
        <v>66</v>
      </c>
      <c r="I31" s="2"/>
      <c r="J31" s="2"/>
      <c r="K31" s="10">
        <f t="shared" ref="K31:P31" si="2">SUM(L2:L27)</f>
        <v>0</v>
      </c>
      <c r="L31" s="10">
        <f t="shared" si="2"/>
        <v>22</v>
      </c>
      <c r="M31" s="10">
        <f t="shared" si="2"/>
        <v>21</v>
      </c>
      <c r="N31" s="10">
        <f t="shared" si="2"/>
        <v>25</v>
      </c>
      <c r="O31" s="10">
        <f t="shared" si="2"/>
        <v>25</v>
      </c>
      <c r="P31" s="10">
        <f t="shared" si="2"/>
        <v>24</v>
      </c>
      <c r="Q31" s="2"/>
    </row>
    <row r="32" ht="7.5" customHeight="1">
      <c r="A32" s="9" t="s">
        <v>67</v>
      </c>
      <c r="B32" s="7"/>
      <c r="C32" s="7"/>
      <c r="D32" s="7"/>
      <c r="E32" s="7"/>
      <c r="F32" s="7"/>
      <c r="G32" s="8"/>
      <c r="H32" s="10" t="s">
        <v>68</v>
      </c>
      <c r="I32" s="2"/>
      <c r="J32" s="2"/>
      <c r="K32" s="10">
        <f t="shared" ref="K32:P32" si="3">26 - (K31)</f>
        <v>26</v>
      </c>
      <c r="L32" s="10">
        <f t="shared" si="3"/>
        <v>4</v>
      </c>
      <c r="M32" s="10">
        <f t="shared" si="3"/>
        <v>5</v>
      </c>
      <c r="N32" s="10">
        <f t="shared" si="3"/>
        <v>1</v>
      </c>
      <c r="O32" s="10">
        <f t="shared" si="3"/>
        <v>1</v>
      </c>
      <c r="P32" s="10">
        <f t="shared" si="3"/>
        <v>2</v>
      </c>
      <c r="Q32" s="2"/>
    </row>
    <row r="33" ht="7.5" customHeight="1">
      <c r="A33" s="9" t="s">
        <v>65</v>
      </c>
      <c r="B33" s="7"/>
      <c r="C33" s="7"/>
      <c r="D33" s="7"/>
      <c r="E33" s="7"/>
      <c r="F33" s="7"/>
      <c r="G33" s="8"/>
      <c r="H33" s="10" t="s">
        <v>69</v>
      </c>
      <c r="I33" s="2"/>
      <c r="J33" s="2"/>
      <c r="K33" s="10">
        <f t="shared" ref="K33:P33" si="4">26 - (K30)</f>
        <v>26</v>
      </c>
      <c r="L33" s="10">
        <f t="shared" si="4"/>
        <v>4</v>
      </c>
      <c r="M33" s="10">
        <f t="shared" si="4"/>
        <v>6</v>
      </c>
      <c r="N33" s="10">
        <f t="shared" si="4"/>
        <v>9</v>
      </c>
      <c r="O33" s="10">
        <f t="shared" si="4"/>
        <v>9</v>
      </c>
      <c r="P33" s="10">
        <f t="shared" si="4"/>
        <v>8</v>
      </c>
      <c r="Q33" s="2"/>
    </row>
    <row r="34" ht="7.5" customHeight="1">
      <c r="A34" s="9" t="s">
        <v>70</v>
      </c>
      <c r="B34" s="7"/>
      <c r="C34" s="7"/>
      <c r="D34" s="7"/>
      <c r="E34" s="7"/>
      <c r="F34" s="7"/>
      <c r="G34" s="8"/>
      <c r="H34" s="10" t="s">
        <v>71</v>
      </c>
      <c r="I34" s="2"/>
      <c r="J34" s="2"/>
      <c r="K34" s="10">
        <f t="shared" ref="K34:P34" si="5">SUM(K30:K31)</f>
        <v>0</v>
      </c>
      <c r="L34" s="10">
        <f t="shared" si="5"/>
        <v>44</v>
      </c>
      <c r="M34" s="10">
        <f t="shared" si="5"/>
        <v>41</v>
      </c>
      <c r="N34" s="10">
        <f t="shared" si="5"/>
        <v>42</v>
      </c>
      <c r="O34" s="10">
        <f t="shared" si="5"/>
        <v>42</v>
      </c>
      <c r="P34" s="10">
        <f t="shared" si="5"/>
        <v>42</v>
      </c>
      <c r="Q34" s="2"/>
    </row>
    <row r="35" ht="7.5" customHeight="1">
      <c r="A35" s="9" t="s">
        <v>72</v>
      </c>
      <c r="B35" s="7"/>
      <c r="C35" s="7"/>
      <c r="D35" s="7"/>
      <c r="E35" s="7"/>
      <c r="F35" s="7"/>
      <c r="G35" s="8"/>
      <c r="H35" s="10" t="s">
        <v>73</v>
      </c>
      <c r="I35" s="2"/>
      <c r="J35" s="2"/>
      <c r="K35" s="10">
        <f t="shared" ref="K35:P35" si="6">SUM(K32:K33)</f>
        <v>52</v>
      </c>
      <c r="L35" s="10">
        <f t="shared" si="6"/>
        <v>8</v>
      </c>
      <c r="M35" s="10">
        <f t="shared" si="6"/>
        <v>11</v>
      </c>
      <c r="N35" s="10">
        <f t="shared" si="6"/>
        <v>10</v>
      </c>
      <c r="O35" s="10">
        <f t="shared" si="6"/>
        <v>10</v>
      </c>
      <c r="P35" s="10">
        <f t="shared" si="6"/>
        <v>10</v>
      </c>
      <c r="Q35" s="2"/>
    </row>
    <row r="36" ht="7.5" customHeight="1">
      <c r="A36" s="9" t="s">
        <v>74</v>
      </c>
      <c r="B36" s="7"/>
      <c r="C36" s="7"/>
      <c r="D36" s="7"/>
      <c r="E36" s="7"/>
      <c r="F36" s="7"/>
      <c r="G36" s="8"/>
      <c r="H36" s="10" t="s">
        <v>9</v>
      </c>
      <c r="I36" s="2"/>
      <c r="J36" s="2"/>
      <c r="K36" s="11">
        <f t="shared" ref="K36:P36" si="7">((K30 + K31))/((K30+K31+K32+K33))</f>
        <v>0</v>
      </c>
      <c r="L36" s="11">
        <f t="shared" si="7"/>
        <v>0.8461538462</v>
      </c>
      <c r="M36" s="11">
        <f t="shared" si="7"/>
        <v>0.7884615385</v>
      </c>
      <c r="N36" s="11">
        <f t="shared" si="7"/>
        <v>0.8076923077</v>
      </c>
      <c r="O36" s="11">
        <f t="shared" si="7"/>
        <v>0.8076923077</v>
      </c>
      <c r="P36" s="11">
        <f t="shared" si="7"/>
        <v>0.8076923077</v>
      </c>
      <c r="Q36" s="2"/>
    </row>
    <row r="37" ht="7.5" customHeight="1">
      <c r="A37" s="9" t="s">
        <v>75</v>
      </c>
      <c r="B37" s="7"/>
      <c r="C37" s="7"/>
      <c r="D37" s="7"/>
      <c r="E37" s="7"/>
      <c r="F37" s="7"/>
      <c r="G37" s="8"/>
      <c r="H37" s="10" t="s">
        <v>76</v>
      </c>
      <c r="I37" s="2"/>
      <c r="J37" s="2"/>
      <c r="K37" s="11">
        <f t="shared" ref="K37:P37" si="8">((K30))/(K30+K32)</f>
        <v>0</v>
      </c>
      <c r="L37" s="11">
        <f t="shared" si="8"/>
        <v>0.8461538462</v>
      </c>
      <c r="M37" s="11">
        <f t="shared" si="8"/>
        <v>0.8</v>
      </c>
      <c r="N37" s="11">
        <f t="shared" si="8"/>
        <v>0.9444444444</v>
      </c>
      <c r="O37" s="11">
        <f t="shared" si="8"/>
        <v>0.9444444444</v>
      </c>
      <c r="P37" s="11">
        <f t="shared" si="8"/>
        <v>0.9</v>
      </c>
      <c r="Q37" s="2"/>
    </row>
    <row r="38" ht="7.5" customHeight="1">
      <c r="A38" s="9" t="s">
        <v>77</v>
      </c>
      <c r="B38" s="7"/>
      <c r="C38" s="7"/>
      <c r="D38" s="7"/>
      <c r="E38" s="7"/>
      <c r="F38" s="7"/>
      <c r="G38" s="8"/>
      <c r="H38" s="10" t="s">
        <v>78</v>
      </c>
      <c r="I38" s="2"/>
      <c r="J38" s="2"/>
      <c r="K38" s="11">
        <f t="shared" ref="K38:P38" si="9">((K30))/(K30+K33)</f>
        <v>0</v>
      </c>
      <c r="L38" s="11">
        <f t="shared" si="9"/>
        <v>0.8461538462</v>
      </c>
      <c r="M38" s="11">
        <f t="shared" si="9"/>
        <v>0.7692307692</v>
      </c>
      <c r="N38" s="11">
        <f t="shared" si="9"/>
        <v>0.6538461538</v>
      </c>
      <c r="O38" s="11">
        <f t="shared" si="9"/>
        <v>0.6538461538</v>
      </c>
      <c r="P38" s="11">
        <f t="shared" si="9"/>
        <v>0.6923076923</v>
      </c>
      <c r="Q38" s="2"/>
    </row>
    <row r="39" ht="7.5" customHeight="1">
      <c r="A39" s="9" t="s">
        <v>79</v>
      </c>
      <c r="B39" s="7"/>
      <c r="C39" s="7"/>
      <c r="D39" s="7"/>
      <c r="E39" s="7"/>
      <c r="F39" s="7"/>
      <c r="G39" s="8"/>
      <c r="H39" s="10" t="s">
        <v>80</v>
      </c>
      <c r="I39" s="2"/>
      <c r="J39" s="2"/>
      <c r="K39" s="11">
        <f t="shared" ref="K39:P39" si="10">(K31)/(K31+K33)</f>
        <v>0</v>
      </c>
      <c r="L39" s="11">
        <f t="shared" si="10"/>
        <v>0.8461538462</v>
      </c>
      <c r="M39" s="11">
        <f t="shared" si="10"/>
        <v>0.7777777778</v>
      </c>
      <c r="N39" s="11">
        <f t="shared" si="10"/>
        <v>0.7352941176</v>
      </c>
      <c r="O39" s="11">
        <f t="shared" si="10"/>
        <v>0.7352941176</v>
      </c>
      <c r="P39" s="11">
        <f t="shared" si="10"/>
        <v>0.75</v>
      </c>
      <c r="Q39" s="2"/>
    </row>
    <row r="40" ht="7.5" customHeight="1">
      <c r="A40" s="9" t="s">
        <v>81</v>
      </c>
      <c r="B40" s="7"/>
      <c r="C40" s="7"/>
      <c r="D40" s="7"/>
      <c r="E40" s="7"/>
      <c r="F40" s="7"/>
      <c r="G40" s="8"/>
      <c r="H40" s="10" t="s">
        <v>82</v>
      </c>
      <c r="I40" s="2"/>
      <c r="J40" s="2"/>
      <c r="K40" s="11" t="str">
        <f t="shared" ref="K40:M40" si="11">(2*(K37)*(K38))/(K37+K38)</f>
        <v>#DIV/0!</v>
      </c>
      <c r="L40" s="11">
        <f t="shared" si="11"/>
        <v>0.8461538462</v>
      </c>
      <c r="M40" s="11">
        <f t="shared" si="11"/>
        <v>0.7843137255</v>
      </c>
      <c r="N40" s="11">
        <f t="shared" ref="N40:P40" si="12">(2*(N37)*(N38))/(N37+N38)</f>
        <v>0.7727272727</v>
      </c>
      <c r="O40" s="11">
        <f t="shared" si="12"/>
        <v>0.7727272727</v>
      </c>
      <c r="P40" s="11">
        <f t="shared" si="12"/>
        <v>0.7826086957</v>
      </c>
      <c r="Q40" s="2"/>
    </row>
    <row r="41" ht="7.5" customHeight="1">
      <c r="A41" s="9" t="s">
        <v>83</v>
      </c>
      <c r="B41" s="7"/>
      <c r="C41" s="7"/>
      <c r="D41" s="7"/>
      <c r="E41" s="7"/>
      <c r="F41" s="7"/>
      <c r="G41" s="8"/>
      <c r="H41" s="10" t="s">
        <v>84</v>
      </c>
      <c r="I41" s="2"/>
      <c r="J41" s="2"/>
      <c r="K41" s="10">
        <f t="shared" ref="K41:P41" si="13"> ROUND(((K30*K31) - (K32*K33))/(SQRT((K30+K32)*(K30+K33)*(K31+K32)*(K31+K33))),3)</f>
        <v>-1</v>
      </c>
      <c r="L41" s="10">
        <f t="shared" si="13"/>
        <v>0.692</v>
      </c>
      <c r="M41" s="10">
        <f t="shared" si="13"/>
        <v>0.577</v>
      </c>
      <c r="N41" s="10">
        <f t="shared" si="13"/>
        <v>0.647</v>
      </c>
      <c r="O41" s="10">
        <f t="shared" si="13"/>
        <v>0.647</v>
      </c>
      <c r="P41" s="10">
        <f t="shared" si="13"/>
        <v>0.632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5">
        <v>1.0</v>
      </c>
      <c r="D2" s="5">
        <v>1.0</v>
      </c>
      <c r="E2" s="5">
        <v>1.0</v>
      </c>
      <c r="F2" s="5">
        <v>1.0</v>
      </c>
      <c r="G2" s="5">
        <v>1.0</v>
      </c>
      <c r="H2" s="5">
        <v>1.0</v>
      </c>
      <c r="I2" s="2"/>
      <c r="J2" s="3" t="s">
        <v>10</v>
      </c>
      <c r="K2" s="3" t="s">
        <v>11</v>
      </c>
      <c r="L2" s="5">
        <v>1.0</v>
      </c>
      <c r="M2" s="5">
        <v>1.0</v>
      </c>
      <c r="N2" s="5">
        <v>1.0</v>
      </c>
      <c r="O2" s="5">
        <v>1.0</v>
      </c>
      <c r="P2" s="5">
        <v>1.0</v>
      </c>
      <c r="Q2" s="5">
        <v>1.0</v>
      </c>
    </row>
    <row r="3" ht="7.5" customHeight="1">
      <c r="A3" s="3" t="s">
        <v>12</v>
      </c>
      <c r="B3" s="3" t="s">
        <v>9</v>
      </c>
      <c r="C3" s="5">
        <v>1.0</v>
      </c>
      <c r="D3" s="5">
        <v>1.0</v>
      </c>
      <c r="E3" s="5">
        <v>1.0</v>
      </c>
      <c r="F3" s="5">
        <v>1.0</v>
      </c>
      <c r="G3" s="5">
        <v>1.0</v>
      </c>
      <c r="H3" s="5">
        <v>1.0</v>
      </c>
      <c r="I3" s="2"/>
      <c r="J3" s="3" t="s">
        <v>13</v>
      </c>
      <c r="K3" s="3" t="s">
        <v>11</v>
      </c>
      <c r="L3" s="5">
        <v>1.0</v>
      </c>
      <c r="M3" s="5">
        <v>1.0</v>
      </c>
      <c r="N3" s="5">
        <v>1.0</v>
      </c>
      <c r="O3" s="5">
        <v>1.0</v>
      </c>
      <c r="P3" s="5">
        <v>1.0</v>
      </c>
      <c r="Q3" s="5">
        <v>1.0</v>
      </c>
    </row>
    <row r="4" ht="7.5" customHeight="1">
      <c r="A4" s="3" t="s">
        <v>14</v>
      </c>
      <c r="B4" s="3" t="s">
        <v>9</v>
      </c>
      <c r="C4" s="5">
        <v>1.0</v>
      </c>
      <c r="D4" s="5">
        <v>1.0</v>
      </c>
      <c r="E4" s="5">
        <v>1.0</v>
      </c>
      <c r="F4" s="5">
        <v>1.0</v>
      </c>
      <c r="G4" s="5">
        <v>1.0</v>
      </c>
      <c r="H4" s="5">
        <v>1.0</v>
      </c>
      <c r="I4" s="2"/>
      <c r="J4" s="3" t="s">
        <v>15</v>
      </c>
      <c r="K4" s="3" t="s">
        <v>11</v>
      </c>
      <c r="L4" s="5">
        <v>1.0</v>
      </c>
      <c r="M4" s="5">
        <v>1.0</v>
      </c>
      <c r="N4" s="5">
        <v>1.0</v>
      </c>
      <c r="O4" s="5">
        <v>1.0</v>
      </c>
      <c r="P4" s="5">
        <v>1.0</v>
      </c>
      <c r="Q4" s="5">
        <v>1.0</v>
      </c>
    </row>
    <row r="5" ht="7.5" customHeight="1">
      <c r="A5" s="3" t="s">
        <v>16</v>
      </c>
      <c r="B5" s="3" t="s">
        <v>9</v>
      </c>
      <c r="C5" s="5">
        <v>1.0</v>
      </c>
      <c r="D5" s="5">
        <v>1.0</v>
      </c>
      <c r="E5" s="5">
        <v>1.0</v>
      </c>
      <c r="F5" s="5">
        <v>1.0</v>
      </c>
      <c r="G5" s="5">
        <v>1.0</v>
      </c>
      <c r="H5" s="5">
        <v>1.0</v>
      </c>
      <c r="I5" s="2"/>
      <c r="J5" s="3" t="s">
        <v>17</v>
      </c>
      <c r="K5" s="3" t="s">
        <v>11</v>
      </c>
      <c r="L5" s="5">
        <v>1.0</v>
      </c>
      <c r="M5" s="5">
        <v>0.0</v>
      </c>
      <c r="N5" s="5">
        <v>0.0</v>
      </c>
      <c r="O5" s="5">
        <v>0.0</v>
      </c>
      <c r="P5" s="5">
        <v>0.0</v>
      </c>
      <c r="Q5" s="5">
        <v>1.0</v>
      </c>
    </row>
    <row r="6" ht="7.5" customHeight="1">
      <c r="A6" s="3" t="s">
        <v>18</v>
      </c>
      <c r="B6" s="3" t="s">
        <v>9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2"/>
      <c r="J6" s="3" t="s">
        <v>19</v>
      </c>
      <c r="K6" s="3" t="s">
        <v>11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</row>
    <row r="7" ht="7.5" customHeight="1">
      <c r="A7" s="3" t="s">
        <v>20</v>
      </c>
      <c r="B7" s="3" t="s">
        <v>9</v>
      </c>
      <c r="C7" s="5">
        <v>1.0</v>
      </c>
      <c r="D7" s="5">
        <v>1.0</v>
      </c>
      <c r="E7" s="5">
        <v>1.0</v>
      </c>
      <c r="F7" s="5">
        <v>1.0</v>
      </c>
      <c r="G7" s="5">
        <v>1.0</v>
      </c>
      <c r="H7" s="5">
        <v>1.0</v>
      </c>
      <c r="I7" s="2"/>
      <c r="J7" s="3" t="s">
        <v>21</v>
      </c>
      <c r="K7" s="3" t="s">
        <v>11</v>
      </c>
      <c r="L7" s="5">
        <v>1.0</v>
      </c>
      <c r="M7" s="5">
        <v>1.0</v>
      </c>
      <c r="N7" s="5">
        <v>1.0</v>
      </c>
      <c r="O7" s="5">
        <v>1.0</v>
      </c>
      <c r="P7" s="5">
        <v>1.0</v>
      </c>
      <c r="Q7" s="5">
        <v>1.0</v>
      </c>
    </row>
    <row r="8" ht="7.5" customHeight="1">
      <c r="A8" s="3" t="s">
        <v>22</v>
      </c>
      <c r="B8" s="3" t="s">
        <v>9</v>
      </c>
      <c r="C8" s="5">
        <v>1.0</v>
      </c>
      <c r="D8" s="5">
        <v>1.0</v>
      </c>
      <c r="E8" s="5">
        <v>1.0</v>
      </c>
      <c r="F8" s="5">
        <v>1.0</v>
      </c>
      <c r="G8" s="5">
        <v>1.0</v>
      </c>
      <c r="H8" s="5">
        <v>1.0</v>
      </c>
      <c r="I8" s="2"/>
      <c r="J8" s="3" t="s">
        <v>23</v>
      </c>
      <c r="K8" s="3" t="s">
        <v>11</v>
      </c>
      <c r="L8" s="5">
        <v>1.0</v>
      </c>
      <c r="M8" s="5">
        <v>1.0</v>
      </c>
      <c r="N8" s="5">
        <v>1.0</v>
      </c>
      <c r="O8" s="5">
        <v>1.0</v>
      </c>
      <c r="P8" s="5">
        <v>1.0</v>
      </c>
      <c r="Q8" s="5">
        <v>1.0</v>
      </c>
    </row>
    <row r="9" ht="7.5" customHeight="1">
      <c r="A9" s="3" t="s">
        <v>24</v>
      </c>
      <c r="B9" s="3" t="s">
        <v>9</v>
      </c>
      <c r="C9" s="5">
        <v>1.0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2"/>
      <c r="J9" s="3" t="s">
        <v>25</v>
      </c>
      <c r="K9" s="3" t="s">
        <v>11</v>
      </c>
      <c r="L9" s="5">
        <v>1.0</v>
      </c>
      <c r="M9" s="5">
        <v>0.0</v>
      </c>
      <c r="N9" s="5">
        <v>0.0</v>
      </c>
      <c r="O9" s="5">
        <v>0.0</v>
      </c>
      <c r="P9" s="5">
        <v>0.0</v>
      </c>
      <c r="Q9" s="5">
        <v>1.0</v>
      </c>
    </row>
    <row r="10" ht="7.5" customHeight="1">
      <c r="A10" s="3" t="s">
        <v>26</v>
      </c>
      <c r="B10" s="3" t="s">
        <v>9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2"/>
      <c r="J10" s="3" t="s">
        <v>27</v>
      </c>
      <c r="K10" s="3" t="s">
        <v>11</v>
      </c>
      <c r="L10" s="5">
        <v>1.0</v>
      </c>
      <c r="M10" s="5">
        <v>1.0</v>
      </c>
      <c r="N10" s="5">
        <v>1.0</v>
      </c>
      <c r="O10" s="5">
        <v>1.0</v>
      </c>
      <c r="P10" s="5">
        <v>1.0</v>
      </c>
      <c r="Q10" s="5">
        <v>1.0</v>
      </c>
    </row>
    <row r="11" ht="7.5" customHeight="1">
      <c r="A11" s="3" t="s">
        <v>28</v>
      </c>
      <c r="B11" s="3" t="s">
        <v>9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2"/>
      <c r="J11" s="3" t="s">
        <v>29</v>
      </c>
      <c r="K11" s="3" t="s">
        <v>11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</row>
    <row r="12" ht="7.5" customHeight="1">
      <c r="A12" s="3" t="s">
        <v>30</v>
      </c>
      <c r="B12" s="3" t="s">
        <v>9</v>
      </c>
      <c r="C12" s="5">
        <v>1.0</v>
      </c>
      <c r="D12" s="5">
        <v>1.0</v>
      </c>
      <c r="E12" s="5">
        <v>1.0</v>
      </c>
      <c r="F12" s="5">
        <v>1.0</v>
      </c>
      <c r="G12" s="5">
        <v>1.0</v>
      </c>
      <c r="H12" s="5">
        <v>1.0</v>
      </c>
      <c r="I12" s="2"/>
      <c r="J12" s="3" t="s">
        <v>31</v>
      </c>
      <c r="K12" s="3" t="s">
        <v>11</v>
      </c>
      <c r="L12" s="5">
        <v>1.0</v>
      </c>
      <c r="M12" s="5">
        <v>1.0</v>
      </c>
      <c r="N12" s="5">
        <v>1.0</v>
      </c>
      <c r="O12" s="5">
        <v>1.0</v>
      </c>
      <c r="P12" s="5">
        <v>1.0</v>
      </c>
      <c r="Q12" s="5">
        <v>1.0</v>
      </c>
    </row>
    <row r="13" ht="7.5" customHeight="1">
      <c r="A13" s="3" t="s">
        <v>32</v>
      </c>
      <c r="B13" s="3" t="s">
        <v>9</v>
      </c>
      <c r="C13" s="5">
        <v>1.0</v>
      </c>
      <c r="D13" s="5">
        <v>1.0</v>
      </c>
      <c r="E13" s="5">
        <v>1.0</v>
      </c>
      <c r="F13" s="5">
        <v>1.0</v>
      </c>
      <c r="G13" s="5">
        <v>1.0</v>
      </c>
      <c r="H13" s="5">
        <v>1.0</v>
      </c>
      <c r="I13" s="2"/>
      <c r="J13" s="3" t="s">
        <v>33</v>
      </c>
      <c r="K13" s="3" t="s">
        <v>11</v>
      </c>
      <c r="L13" s="5">
        <v>1.0</v>
      </c>
      <c r="M13" s="5">
        <v>1.0</v>
      </c>
      <c r="N13" s="5">
        <v>1.0</v>
      </c>
      <c r="O13" s="5">
        <v>1.0</v>
      </c>
      <c r="P13" s="5">
        <v>1.0</v>
      </c>
      <c r="Q13" s="5">
        <v>1.0</v>
      </c>
    </row>
    <row r="14" ht="7.5" customHeight="1">
      <c r="A14" s="3" t="s">
        <v>34</v>
      </c>
      <c r="B14" s="3" t="s">
        <v>9</v>
      </c>
      <c r="C14" s="5">
        <v>1.0</v>
      </c>
      <c r="D14" s="5">
        <v>1.0</v>
      </c>
      <c r="E14" s="5">
        <v>0.0</v>
      </c>
      <c r="F14" s="5">
        <v>0.0</v>
      </c>
      <c r="G14" s="5">
        <v>0.0</v>
      </c>
      <c r="H14" s="5">
        <v>0.0</v>
      </c>
      <c r="I14" s="2"/>
      <c r="J14" s="3" t="s">
        <v>35</v>
      </c>
      <c r="K14" s="3" t="s">
        <v>11</v>
      </c>
      <c r="L14" s="5">
        <v>1.0</v>
      </c>
      <c r="M14" s="5">
        <v>1.0</v>
      </c>
      <c r="N14" s="5">
        <v>1.0</v>
      </c>
      <c r="O14" s="5">
        <v>1.0</v>
      </c>
      <c r="P14" s="5">
        <v>1.0</v>
      </c>
      <c r="Q14" s="5">
        <v>1.0</v>
      </c>
    </row>
    <row r="15" ht="7.5" customHeight="1">
      <c r="A15" s="3" t="s">
        <v>36</v>
      </c>
      <c r="B15" s="3" t="s">
        <v>9</v>
      </c>
      <c r="C15" s="5">
        <v>1.0</v>
      </c>
      <c r="D15" s="5">
        <v>1.0</v>
      </c>
      <c r="E15" s="5">
        <v>1.0</v>
      </c>
      <c r="F15" s="5">
        <v>1.0</v>
      </c>
      <c r="G15" s="5">
        <v>1.0</v>
      </c>
      <c r="H15" s="5">
        <v>1.0</v>
      </c>
      <c r="I15" s="2"/>
      <c r="J15" s="3" t="s">
        <v>37</v>
      </c>
      <c r="K15" s="3" t="s">
        <v>11</v>
      </c>
      <c r="L15" s="5">
        <v>1.0</v>
      </c>
      <c r="M15" s="5">
        <v>1.0</v>
      </c>
      <c r="N15" s="5">
        <v>1.0</v>
      </c>
      <c r="O15" s="5">
        <v>1.0</v>
      </c>
      <c r="P15" s="5">
        <v>1.0</v>
      </c>
      <c r="Q15" s="5">
        <v>1.0</v>
      </c>
    </row>
    <row r="16" ht="7.5" customHeight="1">
      <c r="A16" s="3" t="s">
        <v>38</v>
      </c>
      <c r="B16" s="3" t="s">
        <v>9</v>
      </c>
      <c r="C16" s="5">
        <v>1.0</v>
      </c>
      <c r="D16" s="5">
        <v>1.0</v>
      </c>
      <c r="E16" s="5">
        <v>1.0</v>
      </c>
      <c r="F16" s="5">
        <v>1.0</v>
      </c>
      <c r="G16" s="5">
        <v>1.0</v>
      </c>
      <c r="H16" s="5">
        <v>0.0</v>
      </c>
      <c r="I16" s="2"/>
      <c r="J16" s="3" t="s">
        <v>39</v>
      </c>
      <c r="K16" s="3" t="s">
        <v>11</v>
      </c>
      <c r="L16" s="5">
        <v>1.0</v>
      </c>
      <c r="M16" s="5">
        <v>1.0</v>
      </c>
      <c r="N16" s="5">
        <v>1.0</v>
      </c>
      <c r="O16" s="5">
        <v>0.0</v>
      </c>
      <c r="P16" s="5">
        <v>0.0</v>
      </c>
      <c r="Q16" s="5">
        <v>1.0</v>
      </c>
    </row>
    <row r="17" ht="7.5" customHeight="1">
      <c r="A17" s="3" t="s">
        <v>40</v>
      </c>
      <c r="B17" s="3" t="s">
        <v>9</v>
      </c>
      <c r="C17" s="5">
        <v>1.0</v>
      </c>
      <c r="D17" s="5">
        <v>1.0</v>
      </c>
      <c r="E17" s="5">
        <v>1.0</v>
      </c>
      <c r="F17" s="5">
        <v>1.0</v>
      </c>
      <c r="G17" s="5">
        <v>1.0</v>
      </c>
      <c r="H17" s="5">
        <v>0.0</v>
      </c>
      <c r="I17" s="2"/>
      <c r="J17" s="3" t="s">
        <v>41</v>
      </c>
      <c r="K17" s="3" t="s">
        <v>11</v>
      </c>
      <c r="L17" s="5">
        <v>1.0</v>
      </c>
      <c r="M17" s="5">
        <v>1.0</v>
      </c>
      <c r="N17" s="5">
        <v>1.0</v>
      </c>
      <c r="O17" s="5">
        <v>1.0</v>
      </c>
      <c r="P17" s="5">
        <v>1.0</v>
      </c>
      <c r="Q17" s="5">
        <v>1.0</v>
      </c>
    </row>
    <row r="18" ht="7.5" customHeight="1">
      <c r="A18" s="3" t="s">
        <v>42</v>
      </c>
      <c r="B18" s="3" t="s">
        <v>9</v>
      </c>
      <c r="C18" s="5">
        <v>1.0</v>
      </c>
      <c r="D18" s="5">
        <v>1.0</v>
      </c>
      <c r="E18" s="5">
        <v>1.0</v>
      </c>
      <c r="F18" s="5">
        <v>1.0</v>
      </c>
      <c r="G18" s="5">
        <v>1.0</v>
      </c>
      <c r="H18" s="5">
        <v>1.0</v>
      </c>
      <c r="I18" s="2"/>
      <c r="J18" s="3" t="s">
        <v>43</v>
      </c>
      <c r="K18" s="3" t="s">
        <v>11</v>
      </c>
      <c r="L18" s="5">
        <v>1.0</v>
      </c>
      <c r="M18" s="5">
        <v>1.0</v>
      </c>
      <c r="N18" s="5">
        <v>1.0</v>
      </c>
      <c r="O18" s="5">
        <v>1.0</v>
      </c>
      <c r="P18" s="5">
        <v>1.0</v>
      </c>
      <c r="Q18" s="5">
        <v>1.0</v>
      </c>
    </row>
    <row r="19" ht="7.5" customHeight="1">
      <c r="A19" s="3" t="s">
        <v>44</v>
      </c>
      <c r="B19" s="3" t="s">
        <v>9</v>
      </c>
      <c r="C19" s="5">
        <v>1.0</v>
      </c>
      <c r="D19" s="5">
        <v>1.0</v>
      </c>
      <c r="E19" s="5">
        <v>0.0</v>
      </c>
      <c r="F19" s="5">
        <v>0.0</v>
      </c>
      <c r="G19" s="5">
        <v>0.0</v>
      </c>
      <c r="H19" s="5">
        <v>0.0</v>
      </c>
      <c r="I19" s="2"/>
      <c r="J19" s="3" t="s">
        <v>45</v>
      </c>
      <c r="K19" s="3" t="s">
        <v>11</v>
      </c>
      <c r="L19" s="5">
        <v>1.0</v>
      </c>
      <c r="M19" s="5">
        <v>1.0</v>
      </c>
      <c r="N19" s="5">
        <v>1.0</v>
      </c>
      <c r="O19" s="5">
        <v>1.0</v>
      </c>
      <c r="P19" s="5">
        <v>1.0</v>
      </c>
      <c r="Q19" s="5">
        <v>1.0</v>
      </c>
    </row>
    <row r="20" ht="7.5" customHeight="1">
      <c r="A20" s="3" t="s">
        <v>46</v>
      </c>
      <c r="B20" s="3" t="s">
        <v>9</v>
      </c>
      <c r="C20" s="5">
        <v>1.0</v>
      </c>
      <c r="D20" s="5">
        <v>1.0</v>
      </c>
      <c r="E20" s="5">
        <v>1.0</v>
      </c>
      <c r="F20" s="5">
        <v>1.0</v>
      </c>
      <c r="G20" s="5">
        <v>1.0</v>
      </c>
      <c r="H20" s="5">
        <v>1.0</v>
      </c>
      <c r="I20" s="2"/>
      <c r="J20" s="3" t="s">
        <v>47</v>
      </c>
      <c r="K20" s="3" t="s">
        <v>11</v>
      </c>
      <c r="L20" s="5">
        <v>1.0</v>
      </c>
      <c r="M20" s="5">
        <v>1.0</v>
      </c>
      <c r="N20" s="5">
        <v>1.0</v>
      </c>
      <c r="O20" s="5">
        <v>1.0</v>
      </c>
      <c r="P20" s="5">
        <v>1.0</v>
      </c>
      <c r="Q20" s="5">
        <v>1.0</v>
      </c>
    </row>
    <row r="21" ht="7.5" customHeight="1">
      <c r="A21" s="3" t="s">
        <v>48</v>
      </c>
      <c r="B21" s="3" t="s">
        <v>9</v>
      </c>
      <c r="C21" s="5">
        <v>1.0</v>
      </c>
      <c r="D21" s="5">
        <v>1.0</v>
      </c>
      <c r="E21" s="5">
        <v>1.0</v>
      </c>
      <c r="F21" s="5">
        <v>1.0</v>
      </c>
      <c r="G21" s="5">
        <v>1.0</v>
      </c>
      <c r="H21" s="5">
        <v>1.0</v>
      </c>
      <c r="I21" s="2"/>
      <c r="J21" s="3" t="s">
        <v>49</v>
      </c>
      <c r="K21" s="3" t="s">
        <v>11</v>
      </c>
      <c r="L21" s="5">
        <v>1.0</v>
      </c>
      <c r="M21" s="5">
        <v>1.0</v>
      </c>
      <c r="N21" s="5">
        <v>1.0</v>
      </c>
      <c r="O21" s="5">
        <v>1.0</v>
      </c>
      <c r="P21" s="5">
        <v>1.0</v>
      </c>
      <c r="Q21" s="5">
        <v>1.0</v>
      </c>
    </row>
    <row r="22" ht="7.5" customHeight="1">
      <c r="A22" s="3" t="s">
        <v>50</v>
      </c>
      <c r="B22" s="3" t="s">
        <v>9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2"/>
      <c r="J22" s="3" t="s">
        <v>51</v>
      </c>
      <c r="K22" s="3" t="s">
        <v>11</v>
      </c>
      <c r="L22" s="5">
        <v>1.0</v>
      </c>
      <c r="M22" s="5">
        <v>1.0</v>
      </c>
      <c r="N22" s="5">
        <v>1.0</v>
      </c>
      <c r="O22" s="5">
        <v>1.0</v>
      </c>
      <c r="P22" s="5">
        <v>1.0</v>
      </c>
      <c r="Q22" s="5">
        <v>1.0</v>
      </c>
    </row>
    <row r="23" ht="7.5" customHeight="1">
      <c r="A23" s="3" t="s">
        <v>52</v>
      </c>
      <c r="B23" s="3" t="s">
        <v>9</v>
      </c>
      <c r="C23" s="5">
        <v>1.0</v>
      </c>
      <c r="D23" s="5">
        <v>1.0</v>
      </c>
      <c r="E23" s="5">
        <v>1.0</v>
      </c>
      <c r="F23" s="5">
        <v>1.0</v>
      </c>
      <c r="G23" s="5">
        <v>1.0</v>
      </c>
      <c r="H23" s="5">
        <v>1.0</v>
      </c>
      <c r="I23" s="2"/>
      <c r="J23" s="3" t="s">
        <v>53</v>
      </c>
      <c r="K23" s="3" t="s">
        <v>11</v>
      </c>
      <c r="L23" s="5">
        <v>1.0</v>
      </c>
      <c r="M23" s="5">
        <v>1.0</v>
      </c>
      <c r="N23" s="5">
        <v>1.0</v>
      </c>
      <c r="O23" s="5">
        <v>1.0</v>
      </c>
      <c r="P23" s="5">
        <v>1.0</v>
      </c>
      <c r="Q23" s="5">
        <v>1.0</v>
      </c>
    </row>
    <row r="24" ht="7.5" customHeight="1">
      <c r="A24" s="3" t="s">
        <v>54</v>
      </c>
      <c r="B24" s="3" t="s">
        <v>9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2"/>
      <c r="J24" s="3" t="s">
        <v>55</v>
      </c>
      <c r="K24" s="3" t="s">
        <v>11</v>
      </c>
      <c r="L24" s="5">
        <v>1.0</v>
      </c>
      <c r="M24" s="5">
        <v>1.0</v>
      </c>
      <c r="N24" s="5">
        <v>1.0</v>
      </c>
      <c r="O24" s="5">
        <v>1.0</v>
      </c>
      <c r="P24" s="5">
        <v>1.0</v>
      </c>
      <c r="Q24" s="5">
        <v>1.0</v>
      </c>
    </row>
    <row r="25" ht="7.5" customHeight="1">
      <c r="A25" s="3" t="s">
        <v>56</v>
      </c>
      <c r="B25" s="3" t="s">
        <v>9</v>
      </c>
      <c r="C25" s="5">
        <v>1.0</v>
      </c>
      <c r="D25" s="5">
        <v>1.0</v>
      </c>
      <c r="E25" s="5">
        <v>1.0</v>
      </c>
      <c r="F25" s="5">
        <v>1.0</v>
      </c>
      <c r="G25" s="5">
        <v>1.0</v>
      </c>
      <c r="H25" s="5">
        <v>1.0</v>
      </c>
      <c r="I25" s="2"/>
      <c r="J25" s="3" t="s">
        <v>57</v>
      </c>
      <c r="K25" s="3" t="s">
        <v>11</v>
      </c>
      <c r="L25" s="5">
        <v>0.0</v>
      </c>
      <c r="M25" s="5">
        <v>1.0</v>
      </c>
      <c r="N25" s="5">
        <v>1.0</v>
      </c>
      <c r="O25" s="5">
        <v>1.0</v>
      </c>
      <c r="P25" s="5">
        <v>1.0</v>
      </c>
      <c r="Q25" s="5">
        <v>0.0</v>
      </c>
    </row>
    <row r="26" ht="7.5" customHeight="1">
      <c r="A26" s="3" t="s">
        <v>58</v>
      </c>
      <c r="B26" s="3" t="s">
        <v>9</v>
      </c>
      <c r="C26" s="5">
        <v>1.0</v>
      </c>
      <c r="D26" s="5">
        <v>1.0</v>
      </c>
      <c r="E26" s="5">
        <v>1.0</v>
      </c>
      <c r="F26" s="5">
        <v>1.0</v>
      </c>
      <c r="G26" s="5">
        <v>1.0</v>
      </c>
      <c r="H26" s="5">
        <v>1.0</v>
      </c>
      <c r="I26" s="2"/>
      <c r="J26" s="3" t="s">
        <v>59</v>
      </c>
      <c r="K26" s="3" t="s">
        <v>11</v>
      </c>
      <c r="L26" s="5">
        <v>1.0</v>
      </c>
      <c r="M26" s="5">
        <v>1.0</v>
      </c>
      <c r="N26" s="5">
        <v>1.0</v>
      </c>
      <c r="O26" s="5">
        <v>1.0</v>
      </c>
      <c r="P26" s="5">
        <v>1.0</v>
      </c>
      <c r="Q26" s="5">
        <v>1.0</v>
      </c>
    </row>
    <row r="27" ht="7.5" customHeight="1">
      <c r="A27" s="3" t="s">
        <v>60</v>
      </c>
      <c r="B27" s="3" t="s">
        <v>9</v>
      </c>
      <c r="C27" s="5">
        <v>1.0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2"/>
      <c r="J27" s="3" t="s">
        <v>61</v>
      </c>
      <c r="K27" s="3" t="s">
        <v>11</v>
      </c>
      <c r="L27" s="5">
        <v>1.0</v>
      </c>
      <c r="M27" s="5">
        <v>1.0</v>
      </c>
      <c r="N27" s="5">
        <v>1.0</v>
      </c>
      <c r="O27" s="5">
        <v>1.0</v>
      </c>
      <c r="P27" s="5">
        <v>1.0</v>
      </c>
      <c r="Q27" s="5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6" t="s">
        <v>62</v>
      </c>
      <c r="B29" s="7"/>
      <c r="C29" s="7"/>
      <c r="D29" s="7"/>
      <c r="E29" s="7"/>
      <c r="F29" s="7"/>
      <c r="G29" s="8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9" t="s">
        <v>63</v>
      </c>
      <c r="B30" s="7"/>
      <c r="C30" s="7"/>
      <c r="D30" s="7"/>
      <c r="E30" s="7"/>
      <c r="F30" s="7"/>
      <c r="G30" s="8"/>
      <c r="H30" s="10" t="s">
        <v>64</v>
      </c>
      <c r="I30" s="2"/>
      <c r="J30" s="2"/>
      <c r="K30" s="10">
        <f t="shared" ref="K30:P30" si="1">SUM(C2:C27)</f>
        <v>22</v>
      </c>
      <c r="L30" s="10">
        <f t="shared" si="1"/>
        <v>22</v>
      </c>
      <c r="M30" s="10">
        <f t="shared" si="1"/>
        <v>20</v>
      </c>
      <c r="N30" s="10">
        <f t="shared" si="1"/>
        <v>20</v>
      </c>
      <c r="O30" s="10">
        <f t="shared" si="1"/>
        <v>20</v>
      </c>
      <c r="P30" s="10">
        <f t="shared" si="1"/>
        <v>18</v>
      </c>
      <c r="Q30" s="2"/>
    </row>
    <row r="31" ht="7.5" customHeight="1">
      <c r="A31" s="9" t="s">
        <v>65</v>
      </c>
      <c r="B31" s="7"/>
      <c r="C31" s="7"/>
      <c r="D31" s="7"/>
      <c r="E31" s="7"/>
      <c r="F31" s="7"/>
      <c r="G31" s="8"/>
      <c r="H31" s="10" t="s">
        <v>66</v>
      </c>
      <c r="I31" s="2"/>
      <c r="J31" s="2"/>
      <c r="K31" s="10">
        <f t="shared" ref="K31:P31" si="2">SUM(L2:L27)</f>
        <v>25</v>
      </c>
      <c r="L31" s="10">
        <f t="shared" si="2"/>
        <v>24</v>
      </c>
      <c r="M31" s="10">
        <f t="shared" si="2"/>
        <v>24</v>
      </c>
      <c r="N31" s="10">
        <f t="shared" si="2"/>
        <v>23</v>
      </c>
      <c r="O31" s="10">
        <f t="shared" si="2"/>
        <v>23</v>
      </c>
      <c r="P31" s="10">
        <f t="shared" si="2"/>
        <v>25</v>
      </c>
      <c r="Q31" s="2"/>
    </row>
    <row r="32" ht="7.5" customHeight="1">
      <c r="A32" s="9" t="s">
        <v>67</v>
      </c>
      <c r="B32" s="7"/>
      <c r="C32" s="7"/>
      <c r="D32" s="7"/>
      <c r="E32" s="7"/>
      <c r="F32" s="7"/>
      <c r="G32" s="8"/>
      <c r="H32" s="10" t="s">
        <v>68</v>
      </c>
      <c r="I32" s="2"/>
      <c r="J32" s="2"/>
      <c r="K32" s="10">
        <f t="shared" ref="K32:P32" si="3">26 - (K31)</f>
        <v>1</v>
      </c>
      <c r="L32" s="10">
        <f t="shared" si="3"/>
        <v>2</v>
      </c>
      <c r="M32" s="10">
        <f t="shared" si="3"/>
        <v>2</v>
      </c>
      <c r="N32" s="10">
        <f t="shared" si="3"/>
        <v>3</v>
      </c>
      <c r="O32" s="10">
        <f t="shared" si="3"/>
        <v>3</v>
      </c>
      <c r="P32" s="10">
        <f t="shared" si="3"/>
        <v>1</v>
      </c>
      <c r="Q32" s="2"/>
    </row>
    <row r="33" ht="7.5" customHeight="1">
      <c r="A33" s="9" t="s">
        <v>65</v>
      </c>
      <c r="B33" s="7"/>
      <c r="C33" s="7"/>
      <c r="D33" s="7"/>
      <c r="E33" s="7"/>
      <c r="F33" s="7"/>
      <c r="G33" s="8"/>
      <c r="H33" s="10" t="s">
        <v>69</v>
      </c>
      <c r="I33" s="2"/>
      <c r="J33" s="2"/>
      <c r="K33" s="10">
        <f t="shared" ref="K33:P33" si="4">26 - (K30)</f>
        <v>4</v>
      </c>
      <c r="L33" s="10">
        <f t="shared" si="4"/>
        <v>4</v>
      </c>
      <c r="M33" s="10">
        <f t="shared" si="4"/>
        <v>6</v>
      </c>
      <c r="N33" s="10">
        <f t="shared" si="4"/>
        <v>6</v>
      </c>
      <c r="O33" s="10">
        <f t="shared" si="4"/>
        <v>6</v>
      </c>
      <c r="P33" s="10">
        <f t="shared" si="4"/>
        <v>8</v>
      </c>
      <c r="Q33" s="2"/>
    </row>
    <row r="34" ht="7.5" customHeight="1">
      <c r="A34" s="9" t="s">
        <v>70</v>
      </c>
      <c r="B34" s="7"/>
      <c r="C34" s="7"/>
      <c r="D34" s="7"/>
      <c r="E34" s="7"/>
      <c r="F34" s="7"/>
      <c r="G34" s="8"/>
      <c r="H34" s="10" t="s">
        <v>71</v>
      </c>
      <c r="I34" s="2"/>
      <c r="J34" s="2"/>
      <c r="K34" s="10">
        <f t="shared" ref="K34:P34" si="5">SUM(K30:K31)</f>
        <v>47</v>
      </c>
      <c r="L34" s="10">
        <f t="shared" si="5"/>
        <v>46</v>
      </c>
      <c r="M34" s="10">
        <f t="shared" si="5"/>
        <v>44</v>
      </c>
      <c r="N34" s="10">
        <f t="shared" si="5"/>
        <v>43</v>
      </c>
      <c r="O34" s="10">
        <f t="shared" si="5"/>
        <v>43</v>
      </c>
      <c r="P34" s="10">
        <f t="shared" si="5"/>
        <v>43</v>
      </c>
      <c r="Q34" s="2"/>
    </row>
    <row r="35" ht="7.5" customHeight="1">
      <c r="A35" s="9" t="s">
        <v>72</v>
      </c>
      <c r="B35" s="7"/>
      <c r="C35" s="7"/>
      <c r="D35" s="7"/>
      <c r="E35" s="7"/>
      <c r="F35" s="7"/>
      <c r="G35" s="8"/>
      <c r="H35" s="10" t="s">
        <v>73</v>
      </c>
      <c r="I35" s="2"/>
      <c r="J35" s="2"/>
      <c r="K35" s="10">
        <f t="shared" ref="K35:P35" si="6">SUM(K32:K33)</f>
        <v>5</v>
      </c>
      <c r="L35" s="10">
        <f t="shared" si="6"/>
        <v>6</v>
      </c>
      <c r="M35" s="10">
        <f t="shared" si="6"/>
        <v>8</v>
      </c>
      <c r="N35" s="10">
        <f t="shared" si="6"/>
        <v>9</v>
      </c>
      <c r="O35" s="10">
        <f t="shared" si="6"/>
        <v>9</v>
      </c>
      <c r="P35" s="10">
        <f t="shared" si="6"/>
        <v>9</v>
      </c>
      <c r="Q35" s="2"/>
    </row>
    <row r="36" ht="7.5" customHeight="1">
      <c r="A36" s="9" t="s">
        <v>74</v>
      </c>
      <c r="B36" s="7"/>
      <c r="C36" s="7"/>
      <c r="D36" s="7"/>
      <c r="E36" s="7"/>
      <c r="F36" s="7"/>
      <c r="G36" s="8"/>
      <c r="H36" s="10" t="s">
        <v>9</v>
      </c>
      <c r="I36" s="2"/>
      <c r="J36" s="2"/>
      <c r="K36" s="11">
        <f t="shared" ref="K36:P36" si="7">((K30 + K31))/((K30+K31+K32+K33))</f>
        <v>0.9038461538</v>
      </c>
      <c r="L36" s="11">
        <f t="shared" si="7"/>
        <v>0.8846153846</v>
      </c>
      <c r="M36" s="11">
        <f t="shared" si="7"/>
        <v>0.8461538462</v>
      </c>
      <c r="N36" s="11">
        <f t="shared" si="7"/>
        <v>0.8269230769</v>
      </c>
      <c r="O36" s="11">
        <f t="shared" si="7"/>
        <v>0.8269230769</v>
      </c>
      <c r="P36" s="11">
        <f t="shared" si="7"/>
        <v>0.8269230769</v>
      </c>
      <c r="Q36" s="2"/>
    </row>
    <row r="37" ht="7.5" customHeight="1">
      <c r="A37" s="9" t="s">
        <v>75</v>
      </c>
      <c r="B37" s="7"/>
      <c r="C37" s="7"/>
      <c r="D37" s="7"/>
      <c r="E37" s="7"/>
      <c r="F37" s="7"/>
      <c r="G37" s="8"/>
      <c r="H37" s="10" t="s">
        <v>76</v>
      </c>
      <c r="I37" s="2"/>
      <c r="J37" s="2"/>
      <c r="K37" s="11">
        <f t="shared" ref="K37:P37" si="8">((K30))/(K30+K32)</f>
        <v>0.9565217391</v>
      </c>
      <c r="L37" s="11">
        <f t="shared" si="8"/>
        <v>0.9166666667</v>
      </c>
      <c r="M37" s="11">
        <f t="shared" si="8"/>
        <v>0.9090909091</v>
      </c>
      <c r="N37" s="11">
        <f t="shared" si="8"/>
        <v>0.8695652174</v>
      </c>
      <c r="O37" s="11">
        <f t="shared" si="8"/>
        <v>0.8695652174</v>
      </c>
      <c r="P37" s="11">
        <f t="shared" si="8"/>
        <v>0.9473684211</v>
      </c>
      <c r="Q37" s="2"/>
    </row>
    <row r="38" ht="7.5" customHeight="1">
      <c r="A38" s="9" t="s">
        <v>77</v>
      </c>
      <c r="B38" s="7"/>
      <c r="C38" s="7"/>
      <c r="D38" s="7"/>
      <c r="E38" s="7"/>
      <c r="F38" s="7"/>
      <c r="G38" s="8"/>
      <c r="H38" s="10" t="s">
        <v>78</v>
      </c>
      <c r="I38" s="2"/>
      <c r="J38" s="2"/>
      <c r="K38" s="11">
        <f t="shared" ref="K38:P38" si="9">((K30))/(K30+K33)</f>
        <v>0.8461538462</v>
      </c>
      <c r="L38" s="11">
        <f t="shared" si="9"/>
        <v>0.8461538462</v>
      </c>
      <c r="M38" s="11">
        <f t="shared" si="9"/>
        <v>0.7692307692</v>
      </c>
      <c r="N38" s="11">
        <f t="shared" si="9"/>
        <v>0.7692307692</v>
      </c>
      <c r="O38" s="11">
        <f t="shared" si="9"/>
        <v>0.7692307692</v>
      </c>
      <c r="P38" s="11">
        <f t="shared" si="9"/>
        <v>0.6923076923</v>
      </c>
      <c r="Q38" s="2"/>
    </row>
    <row r="39" ht="7.5" customHeight="1">
      <c r="A39" s="9" t="s">
        <v>79</v>
      </c>
      <c r="B39" s="7"/>
      <c r="C39" s="7"/>
      <c r="D39" s="7"/>
      <c r="E39" s="7"/>
      <c r="F39" s="7"/>
      <c r="G39" s="8"/>
      <c r="H39" s="10" t="s">
        <v>80</v>
      </c>
      <c r="I39" s="2"/>
      <c r="J39" s="2"/>
      <c r="K39" s="11">
        <f t="shared" ref="K39:P39" si="10">(K31)/(K31+K33)</f>
        <v>0.8620689655</v>
      </c>
      <c r="L39" s="11">
        <f t="shared" si="10"/>
        <v>0.8571428571</v>
      </c>
      <c r="M39" s="11">
        <f t="shared" si="10"/>
        <v>0.8</v>
      </c>
      <c r="N39" s="11">
        <f t="shared" si="10"/>
        <v>0.7931034483</v>
      </c>
      <c r="O39" s="11">
        <f t="shared" si="10"/>
        <v>0.7931034483</v>
      </c>
      <c r="P39" s="11">
        <f t="shared" si="10"/>
        <v>0.7575757576</v>
      </c>
      <c r="Q39" s="2"/>
    </row>
    <row r="40" ht="7.5" customHeight="1">
      <c r="A40" s="9" t="s">
        <v>81</v>
      </c>
      <c r="B40" s="7"/>
      <c r="C40" s="7"/>
      <c r="D40" s="7"/>
      <c r="E40" s="7"/>
      <c r="F40" s="7"/>
      <c r="G40" s="8"/>
      <c r="H40" s="10" t="s">
        <v>82</v>
      </c>
      <c r="I40" s="2"/>
      <c r="J40" s="2"/>
      <c r="K40" s="11">
        <f t="shared" ref="K40:M40" si="11">(2*(K37)*(K38))/(K37+K38)</f>
        <v>0.8979591837</v>
      </c>
      <c r="L40" s="11">
        <f t="shared" si="11"/>
        <v>0.88</v>
      </c>
      <c r="M40" s="11">
        <f t="shared" si="11"/>
        <v>0.8333333333</v>
      </c>
      <c r="N40" s="11">
        <f t="shared" ref="N40:P40" si="12">(2*(N37)*(N38))/(N37+N38)</f>
        <v>0.8163265306</v>
      </c>
      <c r="O40" s="11">
        <f t="shared" si="12"/>
        <v>0.8163265306</v>
      </c>
      <c r="P40" s="11">
        <f t="shared" si="12"/>
        <v>0.8</v>
      </c>
      <c r="Q40" s="2"/>
    </row>
    <row r="41" ht="7.5" customHeight="1">
      <c r="A41" s="9" t="s">
        <v>83</v>
      </c>
      <c r="B41" s="7"/>
      <c r="C41" s="7"/>
      <c r="D41" s="7"/>
      <c r="E41" s="7"/>
      <c r="F41" s="7"/>
      <c r="G41" s="8"/>
      <c r="H41" s="10" t="s">
        <v>84</v>
      </c>
      <c r="I41" s="2"/>
      <c r="J41" s="2"/>
      <c r="K41" s="10">
        <f t="shared" ref="K41:P41" si="13"> ROUND(((K30*K31) - (K32*K33))/(SQRT((K30+K32)*(K30+K33)*(K31+K32)*(K31+K33))),3)</f>
        <v>0.813</v>
      </c>
      <c r="L41" s="10">
        <f t="shared" si="13"/>
        <v>0.772</v>
      </c>
      <c r="M41" s="10">
        <f t="shared" si="13"/>
        <v>0.701</v>
      </c>
      <c r="N41" s="10">
        <f t="shared" si="13"/>
        <v>0.658</v>
      </c>
      <c r="O41" s="10">
        <f t="shared" si="13"/>
        <v>0.658</v>
      </c>
      <c r="P41" s="10">
        <f t="shared" si="13"/>
        <v>0.679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